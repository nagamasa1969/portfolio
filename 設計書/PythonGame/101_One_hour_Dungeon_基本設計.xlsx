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miyok\OneDrive\デスクトップ\gitRepositoy\ポートフォリオ\portfolio\設計書\PythonGame\"/>
    </mc:Choice>
  </mc:AlternateContent>
  <xr:revisionPtr revIDLastSave="0" documentId="13_ncr:1_{7BF9328B-4371-49AF-8E41-CB9411DED70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表紙" sheetId="1" r:id="rId1"/>
    <sheet name="変更履歴" sheetId="2" r:id="rId2"/>
    <sheet name="目的" sheetId="8" r:id="rId3"/>
    <sheet name="システム構成図" sheetId="3" r:id="rId4"/>
    <sheet name="機能一覧" sheetId="4" r:id="rId5"/>
    <sheet name="外部ライブラリ一覧" sheetId="7" r:id="rId6"/>
    <sheet name="画面遷移図_フローチャート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3" i="8" l="1"/>
  <c r="W3" i="8"/>
  <c r="AS2" i="8"/>
  <c r="W2" i="8"/>
  <c r="C8" i="7"/>
  <c r="C9" i="7" s="1"/>
  <c r="C10" i="7" s="1"/>
  <c r="C11" i="7" s="1"/>
  <c r="C12" i="7" s="1"/>
  <c r="C13" i="7" s="1"/>
  <c r="C14" i="7" s="1"/>
  <c r="C15" i="7" s="1"/>
  <c r="C16" i="7" s="1"/>
  <c r="C17" i="7" s="1"/>
  <c r="AS3" i="7"/>
  <c r="W3" i="7"/>
  <c r="AS2" i="7"/>
  <c r="W2" i="7"/>
  <c r="AQ3" i="6" l="1"/>
  <c r="AQ2" i="6"/>
  <c r="W3" i="6"/>
  <c r="W2" i="6"/>
  <c r="W3" i="2"/>
  <c r="W2" i="2"/>
  <c r="C9" i="4"/>
  <c r="C10" i="4" s="1"/>
  <c r="C11" i="4" s="1"/>
  <c r="C12" i="4" s="1"/>
  <c r="C13" i="4" s="1"/>
  <c r="C14" i="4" s="1"/>
  <c r="C15" i="4" s="1"/>
  <c r="C16" i="4" s="1"/>
  <c r="C17" i="4" s="1"/>
  <c r="C8" i="4"/>
  <c r="AQ3" i="4" l="1"/>
  <c r="W3" i="4"/>
  <c r="AQ2" i="4"/>
  <c r="W2" i="4"/>
  <c r="W2" i="3"/>
  <c r="AQ3" i="3"/>
  <c r="AQ2" i="3"/>
  <c r="W3" i="3"/>
</calcChain>
</file>

<file path=xl/sharedStrings.xml><?xml version="1.0" encoding="utf-8"?>
<sst xmlns="http://schemas.openxmlformats.org/spreadsheetml/2006/main" count="132" uniqueCount="91">
  <si>
    <t>Ver</t>
    <phoneticPr fontId="1"/>
  </si>
  <si>
    <t>日付</t>
    <rPh sb="0" eb="2">
      <t>ヒヅケ</t>
    </rPh>
    <phoneticPr fontId="1"/>
  </si>
  <si>
    <t>備考</t>
    <rPh sb="0" eb="2">
      <t>ビコウ</t>
    </rPh>
    <phoneticPr fontId="1"/>
  </si>
  <si>
    <t>鷹木</t>
    <rPh sb="0" eb="2">
      <t>タカキ</t>
    </rPh>
    <phoneticPr fontId="1"/>
  </si>
  <si>
    <t>新規作成</t>
    <rPh sb="0" eb="4">
      <t>シンキサクセイ</t>
    </rPh>
    <phoneticPr fontId="1"/>
  </si>
  <si>
    <t>1.0.0.0</t>
    <phoneticPr fontId="1"/>
  </si>
  <si>
    <t>システム構成図</t>
    <rPh sb="4" eb="6">
      <t>コウセイ</t>
    </rPh>
    <rPh sb="6" eb="7">
      <t>ズ</t>
    </rPh>
    <phoneticPr fontId="4"/>
  </si>
  <si>
    <t>作成者</t>
  </si>
  <si>
    <t>修正者</t>
    <rPh sb="0" eb="2">
      <t>シュウセイ</t>
    </rPh>
    <rPh sb="2" eb="3">
      <t>シャ</t>
    </rPh>
    <phoneticPr fontId="4"/>
  </si>
  <si>
    <t>作成日</t>
    <rPh sb="0" eb="3">
      <t>サクセイビ</t>
    </rPh>
    <phoneticPr fontId="4"/>
  </si>
  <si>
    <t>修正日</t>
    <rPh sb="0" eb="2">
      <t>シュウセイ</t>
    </rPh>
    <rPh sb="2" eb="3">
      <t>ビ</t>
    </rPh>
    <phoneticPr fontId="4"/>
  </si>
  <si>
    <t>鷹木</t>
    <rPh sb="0" eb="2">
      <t>タカキ</t>
    </rPh>
    <phoneticPr fontId="1"/>
  </si>
  <si>
    <t>変更履歴</t>
    <rPh sb="0" eb="4">
      <t>ヘンコウリレキ</t>
    </rPh>
    <phoneticPr fontId="4"/>
  </si>
  <si>
    <t>対応者</t>
    <rPh sb="0" eb="3">
      <t>タイオウシャ</t>
    </rPh>
    <phoneticPr fontId="1"/>
  </si>
  <si>
    <t>変更内容</t>
    <rPh sb="0" eb="2">
      <t>ヘンコウ</t>
    </rPh>
    <rPh sb="2" eb="4">
      <t>ナイヨウ</t>
    </rPh>
    <phoneticPr fontId="1"/>
  </si>
  <si>
    <t>改定日</t>
    <rPh sb="0" eb="3">
      <t>カイテイビ</t>
    </rPh>
    <phoneticPr fontId="8"/>
  </si>
  <si>
    <t>改訂者</t>
    <rPh sb="0" eb="2">
      <t>カイテイ</t>
    </rPh>
    <rPh sb="2" eb="3">
      <t>シャ</t>
    </rPh>
    <phoneticPr fontId="8"/>
  </si>
  <si>
    <t>基本設計書</t>
    <rPh sb="0" eb="2">
      <t>キホン</t>
    </rPh>
    <rPh sb="2" eb="5">
      <t>セッケイショ</t>
    </rPh>
    <phoneticPr fontId="8"/>
  </si>
  <si>
    <t>バージョン</t>
    <phoneticPr fontId="1"/>
  </si>
  <si>
    <t>1.0.0.0</t>
    <phoneticPr fontId="1"/>
  </si>
  <si>
    <t>No</t>
    <phoneticPr fontId="4"/>
  </si>
  <si>
    <t>区分</t>
    <rPh sb="0" eb="2">
      <t>クブン</t>
    </rPh>
    <phoneticPr fontId="4"/>
  </si>
  <si>
    <t>機能名</t>
    <rPh sb="0" eb="3">
      <t>キノウメイ</t>
    </rPh>
    <phoneticPr fontId="4"/>
  </si>
  <si>
    <t>機能概要</t>
    <rPh sb="0" eb="2">
      <t>キノウ</t>
    </rPh>
    <rPh sb="2" eb="4">
      <t>ガイヨウ</t>
    </rPh>
    <phoneticPr fontId="4"/>
  </si>
  <si>
    <t>大機能</t>
    <rPh sb="0" eb="3">
      <t>ダイキノウ</t>
    </rPh>
    <phoneticPr fontId="4"/>
  </si>
  <si>
    <t>中機能</t>
    <rPh sb="0" eb="1">
      <t>チュウ</t>
    </rPh>
    <rPh sb="1" eb="3">
      <t>キノウ</t>
    </rPh>
    <phoneticPr fontId="4"/>
  </si>
  <si>
    <t>小機能</t>
    <rPh sb="0" eb="3">
      <t>ショウキノウ</t>
    </rPh>
    <phoneticPr fontId="4"/>
  </si>
  <si>
    <t>機能一覧</t>
    <rPh sb="0" eb="2">
      <t>キノウ</t>
    </rPh>
    <rPh sb="2" eb="4">
      <t>イチラン</t>
    </rPh>
    <phoneticPr fontId="4"/>
  </si>
  <si>
    <t>OnehourDungeon</t>
    <phoneticPr fontId="1"/>
  </si>
  <si>
    <t>ゲーム名称</t>
    <rPh sb="3" eb="5">
      <t>メイショウ</t>
    </rPh>
    <phoneticPr fontId="8"/>
  </si>
  <si>
    <t>種別</t>
    <rPh sb="0" eb="2">
      <t>シュベツ</t>
    </rPh>
    <phoneticPr fontId="8"/>
  </si>
  <si>
    <t>ローグライクRPG</t>
    <phoneticPr fontId="1"/>
  </si>
  <si>
    <t>ゲーム名称</t>
    <rPh sb="3" eb="5">
      <t>メイショウ</t>
    </rPh>
    <phoneticPr fontId="4"/>
  </si>
  <si>
    <t>種別</t>
    <rPh sb="0" eb="2">
      <t>シュベツ</t>
    </rPh>
    <phoneticPr fontId="4"/>
  </si>
  <si>
    <t>セーブデータ保存</t>
    <rPh sb="6" eb="8">
      <t>ホゾン</t>
    </rPh>
    <phoneticPr fontId="1"/>
  </si>
  <si>
    <t>ロードデータ呼び出し</t>
    <rPh sb="6" eb="7">
      <t>ヨ</t>
    </rPh>
    <rPh sb="8" eb="9">
      <t>ダ</t>
    </rPh>
    <phoneticPr fontId="1"/>
  </si>
  <si>
    <t>postgreSQL</t>
    <phoneticPr fontId="1"/>
  </si>
  <si>
    <t>MacOSのPC</t>
    <phoneticPr fontId="1"/>
  </si>
  <si>
    <t>WindowsOSのPC</t>
    <phoneticPr fontId="1"/>
  </si>
  <si>
    <t>テーブルデータを別PCのDBから取得</t>
    <rPh sb="8" eb="9">
      <t>ベツ</t>
    </rPh>
    <rPh sb="16" eb="18">
      <t>シュトク</t>
    </rPh>
    <phoneticPr fontId="1"/>
  </si>
  <si>
    <t>PostgreSQL</t>
    <phoneticPr fontId="1"/>
  </si>
  <si>
    <t>アプリ側</t>
    <rPh sb="3" eb="4">
      <t>ガワ</t>
    </rPh>
    <phoneticPr fontId="1"/>
  </si>
  <si>
    <t>自宅環境構成（別PCからDBのテーブルデータを取得する場合）</t>
    <rPh sb="0" eb="4">
      <t>ジタクカンキョウ</t>
    </rPh>
    <rPh sb="4" eb="6">
      <t>コウセイ</t>
    </rPh>
    <rPh sb="7" eb="8">
      <t>ベツ</t>
    </rPh>
    <rPh sb="23" eb="25">
      <t>シュトク</t>
    </rPh>
    <rPh sb="27" eb="29">
      <t>バアイ</t>
    </rPh>
    <phoneticPr fontId="1"/>
  </si>
  <si>
    <t>PythonGame</t>
  </si>
  <si>
    <t>PythonGame</t>
    <phoneticPr fontId="1"/>
  </si>
  <si>
    <t>タイトル画面</t>
    <rPh sb="4" eb="6">
      <t>ガメン</t>
    </rPh>
    <phoneticPr fontId="1"/>
  </si>
  <si>
    <t>ゲーム説明画面</t>
    <rPh sb="3" eb="5">
      <t>セツメイ</t>
    </rPh>
    <rPh sb="5" eb="7">
      <t>ガメン</t>
    </rPh>
    <phoneticPr fontId="1"/>
  </si>
  <si>
    <t>フィールド画面</t>
    <rPh sb="5" eb="7">
      <t>ガメン</t>
    </rPh>
    <phoneticPr fontId="1"/>
  </si>
  <si>
    <t>戦闘画面</t>
    <rPh sb="0" eb="4">
      <t>セントウガメン</t>
    </rPh>
    <phoneticPr fontId="1"/>
  </si>
  <si>
    <t>凡例</t>
    <rPh sb="0" eb="2">
      <t>ハンレイ</t>
    </rPh>
    <phoneticPr fontId="4"/>
  </si>
  <si>
    <t>New Game</t>
    <phoneticPr fontId="1"/>
  </si>
  <si>
    <t>Continue</t>
    <phoneticPr fontId="1"/>
  </si>
  <si>
    <t>GameOver</t>
  </si>
  <si>
    <t>No</t>
    <phoneticPr fontId="1"/>
  </si>
  <si>
    <t>Yes</t>
    <phoneticPr fontId="1"/>
  </si>
  <si>
    <t>アイテムを取得</t>
    <rPh sb="5" eb="7">
      <t>シュトク</t>
    </rPh>
    <phoneticPr fontId="1"/>
  </si>
  <si>
    <t>敵の場合</t>
    <rPh sb="0" eb="1">
      <t>テキ</t>
    </rPh>
    <rPh sb="2" eb="4">
      <t>バアイ</t>
    </rPh>
    <phoneticPr fontId="1"/>
  </si>
  <si>
    <t>敗北</t>
    <rPh sb="0" eb="2">
      <t>ハイボク</t>
    </rPh>
    <phoneticPr fontId="1"/>
  </si>
  <si>
    <t>勝利</t>
    <rPh sb="0" eb="2">
      <t>ショウリ</t>
    </rPh>
    <phoneticPr fontId="1"/>
  </si>
  <si>
    <t>画面遷移図/フローチャート</t>
    <rPh sb="0" eb="2">
      <t>ガメン</t>
    </rPh>
    <rPh sb="2" eb="5">
      <t>センイズ</t>
    </rPh>
    <phoneticPr fontId="4"/>
  </si>
  <si>
    <t>ライブラリ名</t>
    <rPh sb="5" eb="6">
      <t>メイ</t>
    </rPh>
    <phoneticPr fontId="4"/>
  </si>
  <si>
    <t>pipコマンド要否</t>
    <rPh sb="7" eb="9">
      <t>ヨウヒ</t>
    </rPh>
    <phoneticPr fontId="4"/>
  </si>
  <si>
    <t>タイトル画面表示</t>
    <rPh sb="4" eb="8">
      <t>ガメンヒョウジ</t>
    </rPh>
    <phoneticPr fontId="1"/>
  </si>
  <si>
    <t>ゲーム説明画面表示</t>
    <rPh sb="3" eb="7">
      <t>セツメイガメン</t>
    </rPh>
    <rPh sb="7" eb="9">
      <t>ヒョウジ</t>
    </rPh>
    <phoneticPr fontId="1"/>
  </si>
  <si>
    <t>戦闘操作</t>
    <rPh sb="0" eb="2">
      <t>セントウ</t>
    </rPh>
    <rPh sb="2" eb="4">
      <t>ソウサ</t>
    </rPh>
    <phoneticPr fontId="1"/>
  </si>
  <si>
    <t>フィールド操作</t>
    <rPh sb="5" eb="7">
      <t>ソウサ</t>
    </rPh>
    <phoneticPr fontId="1"/>
  </si>
  <si>
    <t>pygame</t>
    <phoneticPr fontId="1"/>
  </si>
  <si>
    <t>外部ライブラリ一覧</t>
    <rPh sb="0" eb="2">
      <t>ガイブ</t>
    </rPh>
    <rPh sb="7" eb="9">
      <t>イチラン</t>
    </rPh>
    <phoneticPr fontId="4"/>
  </si>
  <si>
    <t>要</t>
    <rPh sb="0" eb="1">
      <t>ヨウ</t>
    </rPh>
    <phoneticPr fontId="1"/>
  </si>
  <si>
    <t>使用プログラム</t>
    <rPh sb="0" eb="2">
      <t>シヨウ</t>
    </rPh>
    <phoneticPr fontId="1"/>
  </si>
  <si>
    <t>ゲーム制作のために作られたライブラリ、画面描画、音声出力などが比較的容易に実装できる。</t>
    <rPh sb="3" eb="5">
      <t>セイサク</t>
    </rPh>
    <rPh sb="9" eb="10">
      <t>ツク</t>
    </rPh>
    <rPh sb="19" eb="23">
      <t>ガメンビョウガ</t>
    </rPh>
    <rPh sb="24" eb="28">
      <t>オンセイシュツリョク</t>
    </rPh>
    <rPh sb="31" eb="34">
      <t>ヒカクテキ</t>
    </rPh>
    <rPh sb="34" eb="36">
      <t>ヨウイ</t>
    </rPh>
    <rPh sb="37" eb="39">
      <t>ジッソウ</t>
    </rPh>
    <phoneticPr fontId="1"/>
  </si>
  <si>
    <t>sys</t>
    <phoneticPr fontId="1"/>
  </si>
  <si>
    <t>否</t>
    <rPh sb="0" eb="1">
      <t>イナ</t>
    </rPh>
    <phoneticPr fontId="1"/>
  </si>
  <si>
    <t>One_hour_dungeon_Next.py
EnemyBoss.py
Drawing.py
CommandData.py</t>
    <phoneticPr fontId="1"/>
  </si>
  <si>
    <t>One_hour_dungeon_Next.py
CommandData.py</t>
    <phoneticPr fontId="1"/>
  </si>
  <si>
    <t>ファイルパス管理などに使用している。</t>
    <rPh sb="6" eb="8">
      <t>カンリ</t>
    </rPh>
    <rPh sb="11" eb="13">
      <t>シヨウ</t>
    </rPh>
    <phoneticPr fontId="1"/>
  </si>
  <si>
    <t>os</t>
    <phoneticPr fontId="1"/>
  </si>
  <si>
    <t>プログラム終了などに使用している。</t>
    <rPh sb="5" eb="7">
      <t>シュウリョウ</t>
    </rPh>
    <rPh sb="10" eb="12">
      <t>シヨウ</t>
    </rPh>
    <phoneticPr fontId="1"/>
  </si>
  <si>
    <t>One_hour_dungeon_Next.py
EnemyBoss.py
CommandData.py</t>
    <phoneticPr fontId="1"/>
  </si>
  <si>
    <t>random</t>
    <phoneticPr fontId="1"/>
  </si>
  <si>
    <t>MapC.py
Drawing.py
CommandData.py</t>
    <phoneticPr fontId="1"/>
  </si>
  <si>
    <t>ランダム処理などに使用している。</t>
    <rPh sb="4" eb="6">
      <t>ショリ</t>
    </rPh>
    <rPh sb="9" eb="11">
      <t>シヨウ</t>
    </rPh>
    <phoneticPr fontId="1"/>
  </si>
  <si>
    <t>GameOver</t>
    <phoneticPr fontId="1"/>
  </si>
  <si>
    <t>psycopg2</t>
    <phoneticPr fontId="1"/>
  </si>
  <si>
    <t>DBControl.py</t>
    <phoneticPr fontId="1"/>
  </si>
  <si>
    <t>PostgreSQLとの連携時に使用している。</t>
    <rPh sb="12" eb="15">
      <t>レンケイジ</t>
    </rPh>
    <rPh sb="16" eb="18">
      <t>シヨウ</t>
    </rPh>
    <phoneticPr fontId="1"/>
  </si>
  <si>
    <t>ゲームの目的</t>
    <rPh sb="4" eb="6">
      <t>モクテキ</t>
    </rPh>
    <phoneticPr fontId="4"/>
  </si>
  <si>
    <t>目的</t>
    <rPh sb="0" eb="2">
      <t>モクテキ</t>
    </rPh>
    <phoneticPr fontId="1"/>
  </si>
  <si>
    <t>備考</t>
    <rPh sb="0" eb="2">
      <t>ビコウ</t>
    </rPh>
    <phoneticPr fontId="4"/>
  </si>
  <si>
    <t>ダンジョンを進んでいき、何階まで進めるかを楽しむゲームです。
10F、20F、30Fにそれぞれボスを配置しており、ボス戦も楽しめます</t>
    <rPh sb="6" eb="7">
      <t>スス</t>
    </rPh>
    <rPh sb="12" eb="14">
      <t>ナンカイ</t>
    </rPh>
    <rPh sb="16" eb="17">
      <t>スス</t>
    </rPh>
    <rPh sb="21" eb="22">
      <t>タノ</t>
    </rPh>
    <rPh sb="50" eb="52">
      <t>ハイチ</t>
    </rPh>
    <rPh sb="59" eb="60">
      <t>セン</t>
    </rPh>
    <rPh sb="61" eb="62">
      <t>タノ</t>
    </rPh>
    <phoneticPr fontId="1"/>
  </si>
  <si>
    <t>・ダンジョン内には、宝箱、繭を配置し、宝箱からはアイテムか、SPダウンの毒効果、繭からは、SP回復か、敵との戦闘が仕込まれています。
・HPは、敵との戦闘時に敵からダメージを受けると減って、0になるとゲームオーバーです。回復薬（Potion）で回復、１マス動くごとに回復することができます。
・MPは、スキル使用時に消費する値で、歩くと回復します。
・SPは、１マス歩くごとに減っていき、0になると、HPが減っていきます。繭から出現するアイテム、またはレベルアップで回復できます。</t>
    <rPh sb="6" eb="7">
      <t>ナイ</t>
    </rPh>
    <rPh sb="10" eb="12">
      <t>タカラバコ</t>
    </rPh>
    <rPh sb="13" eb="14">
      <t>マユ</t>
    </rPh>
    <rPh sb="15" eb="17">
      <t>ハイチ</t>
    </rPh>
    <rPh sb="19" eb="21">
      <t>タカラバコ</t>
    </rPh>
    <rPh sb="36" eb="37">
      <t>ドク</t>
    </rPh>
    <rPh sb="37" eb="39">
      <t>コウカ</t>
    </rPh>
    <rPh sb="40" eb="41">
      <t>マユ</t>
    </rPh>
    <rPh sb="47" eb="49">
      <t>カイフク</t>
    </rPh>
    <rPh sb="51" eb="52">
      <t>テキ</t>
    </rPh>
    <rPh sb="54" eb="56">
      <t>セントウ</t>
    </rPh>
    <rPh sb="57" eb="59">
      <t>シコ</t>
    </rPh>
    <rPh sb="72" eb="73">
      <t>テキ</t>
    </rPh>
    <rPh sb="75" eb="78">
      <t>セントウジ</t>
    </rPh>
    <rPh sb="79" eb="80">
      <t>テキ</t>
    </rPh>
    <rPh sb="87" eb="88">
      <t>ウ</t>
    </rPh>
    <rPh sb="91" eb="92">
      <t>ヘ</t>
    </rPh>
    <rPh sb="110" eb="113">
      <t>カイフクヤク</t>
    </rPh>
    <rPh sb="122" eb="124">
      <t>カイフク</t>
    </rPh>
    <rPh sb="128" eb="129">
      <t>ウゴ</t>
    </rPh>
    <rPh sb="133" eb="135">
      <t>カイフク</t>
    </rPh>
    <rPh sb="154" eb="157">
      <t>シヨウジ</t>
    </rPh>
    <rPh sb="158" eb="160">
      <t>ショウヒ</t>
    </rPh>
    <rPh sb="162" eb="163">
      <t>アタイ</t>
    </rPh>
    <rPh sb="165" eb="166">
      <t>アル</t>
    </rPh>
    <rPh sb="168" eb="170">
      <t>カイフク</t>
    </rPh>
    <rPh sb="183" eb="184">
      <t>アル</t>
    </rPh>
    <rPh sb="188" eb="189">
      <t>ヘ</t>
    </rPh>
    <rPh sb="203" eb="204">
      <t>ヘ</t>
    </rPh>
    <rPh sb="211" eb="212">
      <t>マユ</t>
    </rPh>
    <rPh sb="214" eb="216">
      <t>シュツゲン</t>
    </rPh>
    <rPh sb="233" eb="235">
      <t>カイフク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</si>
</sst>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15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9"/>
      <name val="ＭＳ Ｐゴシック"/>
      <family val="3"/>
      <charset val="128"/>
    </font>
    <font>
      <b/>
      <sz val="12"/>
      <name val="游ゴシック"/>
      <family val="3"/>
      <charset val="128"/>
    </font>
    <font>
      <sz val="6"/>
      <name val="明朝"/>
      <family val="1"/>
      <charset val="128"/>
    </font>
    <font>
      <b/>
      <sz val="9"/>
      <name val="游ゴシック"/>
      <family val="3"/>
      <charset val="128"/>
    </font>
    <font>
      <sz val="9"/>
      <name val="游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8"/>
      <name val="ＭＳ ゴシック"/>
      <family val="3"/>
      <charset val="128"/>
    </font>
    <font>
      <sz val="10"/>
      <name val="ＭＳ ゴシック"/>
      <family val="3"/>
      <charset val="128"/>
    </font>
    <font>
      <sz val="10"/>
      <color indexed="9"/>
      <name val="ＭＳ ゴシック"/>
      <family val="3"/>
      <charset val="128"/>
    </font>
    <font>
      <sz val="26"/>
      <name val="ＭＳ ゴシック"/>
      <family val="3"/>
      <charset val="128"/>
    </font>
    <font>
      <sz val="11"/>
      <name val="明朝"/>
      <family val="1"/>
      <charset val="128"/>
    </font>
    <font>
      <b/>
      <sz val="11"/>
      <name val="游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0" tint="-4.9989318521683403E-2"/>
        <bgColor indexed="64"/>
      </patternFill>
    </fill>
  </fills>
  <borders count="3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indexed="64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thin">
        <color indexed="64"/>
      </bottom>
      <diagonal/>
    </border>
    <border>
      <left/>
      <right/>
      <top style="hair">
        <color auto="1"/>
      </top>
      <bottom style="thin">
        <color indexed="64"/>
      </bottom>
      <diagonal/>
    </border>
    <border>
      <left/>
      <right style="thin">
        <color indexed="64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thin">
        <color indexed="64"/>
      </bottom>
      <diagonal/>
    </border>
  </borders>
  <cellStyleXfs count="6">
    <xf numFmtId="0" fontId="0" fillId="0" borderId="0"/>
    <xf numFmtId="0" fontId="2" fillId="0" borderId="0"/>
    <xf numFmtId="0" fontId="7" fillId="0" borderId="0"/>
    <xf numFmtId="0" fontId="7" fillId="0" borderId="0"/>
    <xf numFmtId="0" fontId="13" fillId="0" borderId="0"/>
    <xf numFmtId="0" fontId="7" fillId="0" borderId="0"/>
  </cellStyleXfs>
  <cellXfs count="120">
    <xf numFmtId="0" fontId="0" fillId="0" borderId="0" xfId="0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10" xfId="0" applyFill="1" applyBorder="1"/>
    <xf numFmtId="0" fontId="0" fillId="2" borderId="0" xfId="0" applyFill="1"/>
    <xf numFmtId="0" fontId="0" fillId="2" borderId="11" xfId="0" applyFill="1" applyBorder="1"/>
    <xf numFmtId="0" fontId="0" fillId="2" borderId="5" xfId="0" applyFill="1" applyBorder="1"/>
    <xf numFmtId="0" fontId="0" fillId="2" borderId="1" xfId="0" applyFill="1" applyBorder="1"/>
    <xf numFmtId="0" fontId="0" fillId="2" borderId="6" xfId="0" applyFill="1" applyBorder="1"/>
    <xf numFmtId="0" fontId="9" fillId="0" borderId="2" xfId="3" applyFont="1" applyBorder="1" applyAlignment="1">
      <alignment vertical="top"/>
    </xf>
    <xf numFmtId="0" fontId="9" fillId="0" borderId="3" xfId="3" applyFont="1" applyBorder="1" applyAlignment="1">
      <alignment vertical="top"/>
    </xf>
    <xf numFmtId="0" fontId="9" fillId="0" borderId="4" xfId="3" applyFont="1" applyBorder="1" applyAlignment="1">
      <alignment vertical="top"/>
    </xf>
    <xf numFmtId="0" fontId="9" fillId="0" borderId="0" xfId="3" applyFont="1"/>
    <xf numFmtId="0" fontId="9" fillId="0" borderId="10" xfId="3" applyFont="1" applyBorder="1" applyAlignment="1">
      <alignment vertical="top"/>
    </xf>
    <xf numFmtId="0" fontId="9" fillId="0" borderId="11" xfId="3" applyFont="1" applyBorder="1" applyAlignment="1">
      <alignment vertical="top"/>
    </xf>
    <xf numFmtId="0" fontId="9" fillId="0" borderId="10" xfId="3" applyFont="1" applyBorder="1" applyAlignment="1">
      <alignment horizontal="center" vertical="center"/>
    </xf>
    <xf numFmtId="0" fontId="9" fillId="0" borderId="11" xfId="3" applyFont="1" applyBorder="1" applyAlignment="1">
      <alignment horizontal="center" vertical="center"/>
    </xf>
    <xf numFmtId="0" fontId="9" fillId="0" borderId="5" xfId="3" applyFont="1" applyBorder="1" applyAlignment="1">
      <alignment vertical="top"/>
    </xf>
    <xf numFmtId="0" fontId="9" fillId="0" borderId="1" xfId="3" applyFont="1" applyBorder="1" applyAlignment="1">
      <alignment vertical="top"/>
    </xf>
    <xf numFmtId="0" fontId="9" fillId="0" borderId="6" xfId="3" applyFont="1" applyBorder="1" applyAlignment="1">
      <alignment vertical="top"/>
    </xf>
    <xf numFmtId="0" fontId="9" fillId="0" borderId="0" xfId="3" applyFont="1" applyAlignment="1">
      <alignment vertical="top"/>
    </xf>
    <xf numFmtId="0" fontId="9" fillId="0" borderId="0" xfId="3" applyFont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1" xfId="0" applyBorder="1"/>
    <xf numFmtId="0" fontId="0" fillId="0" borderId="6" xfId="0" applyBorder="1"/>
    <xf numFmtId="0" fontId="0" fillId="0" borderId="10" xfId="0" applyBorder="1"/>
    <xf numFmtId="0" fontId="6" fillId="0" borderId="0" xfId="1" applyFont="1" applyAlignment="1">
      <alignment horizontal="left" vertical="center"/>
    </xf>
    <xf numFmtId="0" fontId="6" fillId="0" borderId="2" xfId="1" applyFont="1" applyBorder="1" applyAlignment="1">
      <alignment horizontal="left" vertical="center"/>
    </xf>
    <xf numFmtId="0" fontId="6" fillId="0" borderId="3" xfId="1" applyFont="1" applyBorder="1" applyAlignment="1">
      <alignment horizontal="left" vertical="center"/>
    </xf>
    <xf numFmtId="0" fontId="6" fillId="0" borderId="4" xfId="1" applyFont="1" applyBorder="1" applyAlignment="1">
      <alignment horizontal="left" vertical="center"/>
    </xf>
    <xf numFmtId="0" fontId="6" fillId="0" borderId="10" xfId="1" applyFont="1" applyBorder="1" applyAlignment="1">
      <alignment horizontal="left" vertical="center"/>
    </xf>
    <xf numFmtId="0" fontId="6" fillId="0" borderId="11" xfId="1" applyFont="1" applyBorder="1" applyAlignment="1">
      <alignment horizontal="left" vertical="center"/>
    </xf>
    <xf numFmtId="0" fontId="6" fillId="0" borderId="5" xfId="1" applyFont="1" applyBorder="1" applyAlignment="1">
      <alignment horizontal="left" vertical="center"/>
    </xf>
    <xf numFmtId="0" fontId="6" fillId="0" borderId="1" xfId="1" applyFont="1" applyBorder="1" applyAlignment="1">
      <alignment horizontal="left" vertical="center"/>
    </xf>
    <xf numFmtId="0" fontId="6" fillId="0" borderId="6" xfId="1" applyFont="1" applyBorder="1" applyAlignment="1">
      <alignment horizontal="left" vertical="center"/>
    </xf>
    <xf numFmtId="0" fontId="14" fillId="0" borderId="3" xfId="1" applyFont="1" applyBorder="1" applyAlignment="1">
      <alignment horizontal="left" vertical="center"/>
    </xf>
    <xf numFmtId="0" fontId="0" fillId="0" borderId="11" xfId="0" applyBorder="1"/>
    <xf numFmtId="0" fontId="13" fillId="0" borderId="10" xfId="4" applyBorder="1"/>
    <xf numFmtId="0" fontId="13" fillId="0" borderId="0" xfId="4"/>
    <xf numFmtId="0" fontId="5" fillId="0" borderId="0" xfId="1" applyFont="1" applyAlignment="1">
      <alignment horizontal="left" vertical="center"/>
    </xf>
    <xf numFmtId="176" fontId="6" fillId="0" borderId="0" xfId="5" applyNumberFormat="1" applyFont="1" applyAlignment="1">
      <alignment horizontal="left" vertical="center"/>
    </xf>
    <xf numFmtId="0" fontId="13" fillId="0" borderId="11" xfId="4" applyBorder="1"/>
    <xf numFmtId="0" fontId="6" fillId="0" borderId="0" xfId="5" applyFont="1" applyAlignment="1">
      <alignment horizontal="left" vertical="center"/>
    </xf>
    <xf numFmtId="176" fontId="6" fillId="0" borderId="0" xfId="1" applyNumberFormat="1" applyFont="1" applyAlignment="1">
      <alignment horizontal="left" vertical="center"/>
    </xf>
    <xf numFmtId="0" fontId="12" fillId="0" borderId="2" xfId="3" applyFont="1" applyBorder="1" applyAlignment="1">
      <alignment horizontal="center" vertical="center"/>
    </xf>
    <xf numFmtId="0" fontId="12" fillId="0" borderId="3" xfId="3" applyFont="1" applyBorder="1" applyAlignment="1">
      <alignment horizontal="center" vertical="center"/>
    </xf>
    <xf numFmtId="0" fontId="12" fillId="0" borderId="4" xfId="3" applyFont="1" applyBorder="1" applyAlignment="1">
      <alignment horizontal="center" vertical="center"/>
    </xf>
    <xf numFmtId="0" fontId="12" fillId="0" borderId="10" xfId="3" applyFont="1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12" fillId="0" borderId="11" xfId="3" applyFont="1" applyBorder="1" applyAlignment="1">
      <alignment horizontal="center" vertical="center"/>
    </xf>
    <xf numFmtId="0" fontId="12" fillId="0" borderId="5" xfId="3" applyFont="1" applyBorder="1" applyAlignment="1">
      <alignment horizontal="center" vertical="center"/>
    </xf>
    <xf numFmtId="0" fontId="12" fillId="0" borderId="1" xfId="3" applyFont="1" applyBorder="1" applyAlignment="1">
      <alignment horizontal="center" vertical="center"/>
    </xf>
    <xf numFmtId="0" fontId="12" fillId="0" borderId="6" xfId="3" applyFont="1" applyBorder="1" applyAlignment="1">
      <alignment horizontal="center" vertical="center"/>
    </xf>
    <xf numFmtId="0" fontId="11" fillId="3" borderId="12" xfId="3" applyFont="1" applyFill="1" applyBorder="1" applyAlignment="1">
      <alignment vertical="center"/>
    </xf>
    <xf numFmtId="0" fontId="10" fillId="0" borderId="12" xfId="3" applyFont="1" applyBorder="1" applyAlignment="1">
      <alignment vertical="center"/>
    </xf>
    <xf numFmtId="14" fontId="10" fillId="0" borderId="12" xfId="3" applyNumberFormat="1" applyFont="1" applyBorder="1" applyAlignment="1">
      <alignment vertical="center"/>
    </xf>
    <xf numFmtId="0" fontId="0" fillId="0" borderId="12" xfId="0" applyBorder="1" applyAlignment="1">
      <alignment horizontal="center"/>
    </xf>
    <xf numFmtId="0" fontId="3" fillId="0" borderId="12" xfId="1" applyFont="1" applyBorder="1" applyAlignment="1">
      <alignment horizontal="center" vertical="center"/>
    </xf>
    <xf numFmtId="0" fontId="5" fillId="0" borderId="12" xfId="1" applyFont="1" applyBorder="1" applyAlignment="1">
      <alignment horizontal="left" vertical="center"/>
    </xf>
    <xf numFmtId="0" fontId="6" fillId="0" borderId="7" xfId="1" applyFont="1" applyBorder="1" applyAlignment="1">
      <alignment horizontal="left" vertical="center"/>
    </xf>
    <xf numFmtId="0" fontId="6" fillId="0" borderId="8" xfId="1" applyFont="1" applyBorder="1" applyAlignment="1">
      <alignment horizontal="left" vertical="center"/>
    </xf>
    <xf numFmtId="0" fontId="6" fillId="0" borderId="9" xfId="1" applyFont="1" applyBorder="1" applyAlignment="1">
      <alignment horizontal="left" vertic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4" fontId="0" fillId="0" borderId="7" xfId="0" applyNumberFormat="1" applyBorder="1" applyAlignment="1">
      <alignment horizontal="center"/>
    </xf>
    <xf numFmtId="0" fontId="5" fillId="0" borderId="12" xfId="1" applyFont="1" applyBorder="1" applyAlignment="1">
      <alignment horizontal="center" vertical="center"/>
    </xf>
    <xf numFmtId="0" fontId="6" fillId="0" borderId="12" xfId="1" applyFont="1" applyBorder="1" applyAlignment="1">
      <alignment horizontal="center" vertical="center"/>
    </xf>
    <xf numFmtId="14" fontId="6" fillId="0" borderId="12" xfId="1" applyNumberFormat="1" applyFont="1" applyBorder="1" applyAlignment="1">
      <alignment horizontal="center" vertical="center"/>
    </xf>
    <xf numFmtId="0" fontId="6" fillId="0" borderId="21" xfId="1" applyFont="1" applyBorder="1" applyAlignment="1">
      <alignment horizontal="center" vertical="center"/>
    </xf>
    <xf numFmtId="0" fontId="6" fillId="0" borderId="16" xfId="1" applyFont="1" applyBorder="1" applyAlignment="1">
      <alignment horizontal="center" vertical="center"/>
    </xf>
    <xf numFmtId="0" fontId="6" fillId="0" borderId="28" xfId="1" applyFont="1" applyBorder="1" applyAlignment="1">
      <alignment horizontal="left" vertical="center"/>
    </xf>
    <xf numFmtId="0" fontId="6" fillId="0" borderId="29" xfId="1" applyFont="1" applyBorder="1" applyAlignment="1">
      <alignment horizontal="left" vertical="center"/>
    </xf>
    <xf numFmtId="0" fontId="6" fillId="0" borderId="30" xfId="1" applyFont="1" applyBorder="1" applyAlignment="1">
      <alignment horizontal="left" vertical="center"/>
    </xf>
    <xf numFmtId="0" fontId="5" fillId="0" borderId="22" xfId="1" applyFont="1" applyBorder="1" applyAlignment="1">
      <alignment horizontal="left" vertical="center" wrapText="1"/>
    </xf>
    <xf numFmtId="0" fontId="5" fillId="0" borderId="23" xfId="1" applyFont="1" applyBorder="1" applyAlignment="1">
      <alignment horizontal="left" vertical="center"/>
    </xf>
    <xf numFmtId="0" fontId="5" fillId="0" borderId="32" xfId="1" applyFont="1" applyBorder="1" applyAlignment="1">
      <alignment horizontal="left" vertical="center"/>
    </xf>
    <xf numFmtId="0" fontId="5" fillId="0" borderId="28" xfId="1" applyFont="1" applyBorder="1" applyAlignment="1">
      <alignment horizontal="left" vertical="center"/>
    </xf>
    <xf numFmtId="0" fontId="5" fillId="0" borderId="29" xfId="1" applyFont="1" applyBorder="1" applyAlignment="1">
      <alignment horizontal="left" vertical="center"/>
    </xf>
    <xf numFmtId="0" fontId="5" fillId="0" borderId="33" xfId="1" applyFont="1" applyBorder="1" applyAlignment="1">
      <alignment horizontal="left" vertical="center"/>
    </xf>
    <xf numFmtId="0" fontId="6" fillId="0" borderId="19" xfId="1" applyFont="1" applyBorder="1" applyAlignment="1">
      <alignment horizontal="center" vertical="center"/>
    </xf>
    <xf numFmtId="0" fontId="6" fillId="0" borderId="17" xfId="1" applyFont="1" applyBorder="1" applyAlignment="1">
      <alignment horizontal="center" vertical="center"/>
    </xf>
    <xf numFmtId="0" fontId="6" fillId="0" borderId="22" xfId="1" applyFont="1" applyBorder="1" applyAlignment="1">
      <alignment horizontal="left" vertical="center"/>
    </xf>
    <xf numFmtId="0" fontId="6" fillId="0" borderId="23" xfId="1" applyFont="1" applyBorder="1" applyAlignment="1">
      <alignment horizontal="left" vertical="center"/>
    </xf>
    <xf numFmtId="0" fontId="6" fillId="0" borderId="24" xfId="1" applyFont="1" applyBorder="1" applyAlignment="1">
      <alignment horizontal="left" vertical="center"/>
    </xf>
    <xf numFmtId="0" fontId="6" fillId="4" borderId="12" xfId="1" applyFont="1" applyFill="1" applyBorder="1" applyAlignment="1">
      <alignment horizontal="center" vertical="center"/>
    </xf>
    <xf numFmtId="0" fontId="5" fillId="0" borderId="16" xfId="1" applyFont="1" applyBorder="1" applyAlignment="1">
      <alignment horizontal="left" vertical="center"/>
    </xf>
    <xf numFmtId="0" fontId="6" fillId="0" borderId="20" xfId="1" applyFont="1" applyBorder="1" applyAlignment="1">
      <alignment horizontal="center" vertical="center"/>
    </xf>
    <xf numFmtId="0" fontId="6" fillId="0" borderId="13" xfId="1" applyFont="1" applyBorder="1" applyAlignment="1">
      <alignment horizontal="center" vertical="center"/>
    </xf>
    <xf numFmtId="0" fontId="5" fillId="0" borderId="13" xfId="1" applyFont="1" applyBorder="1" applyAlignment="1">
      <alignment horizontal="left" vertical="center"/>
    </xf>
    <xf numFmtId="0" fontId="6" fillId="0" borderId="13" xfId="1" applyFont="1" applyBorder="1" applyAlignment="1">
      <alignment horizontal="left" vertical="center"/>
    </xf>
    <xf numFmtId="0" fontId="6" fillId="0" borderId="14" xfId="1" applyFont="1" applyBorder="1" applyAlignment="1">
      <alignment horizontal="left" vertical="center"/>
    </xf>
    <xf numFmtId="0" fontId="5" fillId="0" borderId="17" xfId="1" applyFont="1" applyBorder="1" applyAlignment="1">
      <alignment horizontal="left" vertical="center"/>
    </xf>
    <xf numFmtId="0" fontId="6" fillId="0" borderId="17" xfId="1" applyFont="1" applyBorder="1" applyAlignment="1">
      <alignment horizontal="left" vertical="center"/>
    </xf>
    <xf numFmtId="0" fontId="6" fillId="0" borderId="18" xfId="1" applyFont="1" applyBorder="1" applyAlignment="1">
      <alignment horizontal="left" vertical="center"/>
    </xf>
    <xf numFmtId="0" fontId="6" fillId="0" borderId="13" xfId="1" applyFont="1" applyBorder="1" applyAlignment="1">
      <alignment horizontal="left" vertical="center" wrapText="1"/>
    </xf>
    <xf numFmtId="0" fontId="6" fillId="0" borderId="14" xfId="1" applyFont="1" applyBorder="1" applyAlignment="1">
      <alignment horizontal="left" vertical="center" wrapText="1"/>
    </xf>
    <xf numFmtId="0" fontId="6" fillId="0" borderId="16" xfId="1" applyFont="1" applyBorder="1" applyAlignment="1">
      <alignment horizontal="left" vertical="center"/>
    </xf>
    <xf numFmtId="0" fontId="6" fillId="0" borderId="15" xfId="1" applyFont="1" applyBorder="1" applyAlignment="1">
      <alignment horizontal="left" vertical="center"/>
    </xf>
    <xf numFmtId="0" fontId="6" fillId="0" borderId="25" xfId="1" applyFont="1" applyBorder="1" applyAlignment="1">
      <alignment horizontal="left" vertical="center"/>
    </xf>
    <xf numFmtId="0" fontId="6" fillId="0" borderId="26" xfId="1" applyFont="1" applyBorder="1" applyAlignment="1">
      <alignment horizontal="left" vertical="center"/>
    </xf>
    <xf numFmtId="0" fontId="6" fillId="0" borderId="27" xfId="1" applyFont="1" applyBorder="1" applyAlignment="1">
      <alignment horizontal="left" vertical="center"/>
    </xf>
    <xf numFmtId="0" fontId="6" fillId="0" borderId="31" xfId="1" applyFont="1" applyBorder="1" applyAlignment="1">
      <alignment horizontal="left" vertical="center" wrapText="1"/>
    </xf>
    <xf numFmtId="0" fontId="6" fillId="0" borderId="31" xfId="1" applyFont="1" applyBorder="1" applyAlignment="1">
      <alignment horizontal="left" vertical="center"/>
    </xf>
    <xf numFmtId="0" fontId="5" fillId="0" borderId="7" xfId="1" applyFont="1" applyBorder="1" applyAlignment="1">
      <alignment horizontal="center" vertical="center"/>
    </xf>
    <xf numFmtId="0" fontId="5" fillId="0" borderId="8" xfId="1" applyFont="1" applyBorder="1" applyAlignment="1">
      <alignment horizontal="center" vertical="center"/>
    </xf>
    <xf numFmtId="0" fontId="5" fillId="0" borderId="9" xfId="1" applyFont="1" applyBorder="1" applyAlignment="1">
      <alignment horizontal="center" vertical="center"/>
    </xf>
    <xf numFmtId="0" fontId="6" fillId="0" borderId="7" xfId="1" applyFont="1" applyBorder="1" applyAlignment="1">
      <alignment horizontal="center" vertical="center"/>
    </xf>
    <xf numFmtId="0" fontId="6" fillId="0" borderId="8" xfId="1" applyFont="1" applyBorder="1" applyAlignment="1">
      <alignment horizontal="center" vertical="center"/>
    </xf>
    <xf numFmtId="0" fontId="6" fillId="0" borderId="9" xfId="1" applyFont="1" applyBorder="1" applyAlignment="1">
      <alignment horizontal="center" vertical="center"/>
    </xf>
    <xf numFmtId="14" fontId="6" fillId="0" borderId="7" xfId="1" applyNumberFormat="1" applyFont="1" applyBorder="1" applyAlignment="1">
      <alignment horizontal="center" vertical="center"/>
    </xf>
    <xf numFmtId="14" fontId="6" fillId="0" borderId="8" xfId="1" applyNumberFormat="1" applyFont="1" applyBorder="1" applyAlignment="1">
      <alignment horizontal="center" vertical="center"/>
    </xf>
    <xf numFmtId="14" fontId="6" fillId="0" borderId="9" xfId="1" applyNumberFormat="1" applyFont="1" applyBorder="1" applyAlignment="1">
      <alignment horizontal="center" vertical="center"/>
    </xf>
    <xf numFmtId="0" fontId="6" fillId="0" borderId="22" xfId="1" applyFont="1" applyBorder="1" applyAlignment="1">
      <alignment horizontal="left" vertical="center" wrapText="1"/>
    </xf>
    <xf numFmtId="0" fontId="6" fillId="0" borderId="23" xfId="1" applyFont="1" applyBorder="1" applyAlignment="1">
      <alignment horizontal="left" vertical="center" wrapText="1"/>
    </xf>
    <xf numFmtId="0" fontId="6" fillId="0" borderId="24" xfId="1" applyFont="1" applyBorder="1" applyAlignment="1">
      <alignment horizontal="left" vertical="center" wrapText="1"/>
    </xf>
  </cellXfs>
  <cellStyles count="6">
    <cellStyle name="標準" xfId="0" builtinId="0"/>
    <cellStyle name="標準 2" xfId="2" xr:uid="{AE50FEC6-FE63-44FA-B5B5-D9604DF4AA4D}"/>
    <cellStyle name="標準 3" xfId="4" xr:uid="{AD14F964-823D-4316-925A-48F16C77C196}"/>
    <cellStyle name="標準_詳細設計書_サンプル" xfId="3" xr:uid="{82275C2D-EA7C-4890-8823-54496921F4F9}"/>
    <cellStyle name="標準_生産計画ED書" xfId="1" xr:uid="{4330B0C4-A7DD-442E-8C2D-04ADF0A9CCE2}"/>
    <cellStyle name="標準_東京理科大DBレイアウト" xfId="5" xr:uid="{A0D12AC4-EA58-4C5C-9349-24390C6FB98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6</xdr:row>
      <xdr:rowOff>6350</xdr:rowOff>
    </xdr:from>
    <xdr:to>
      <xdr:col>44</xdr:col>
      <xdr:colOff>6350</xdr:colOff>
      <xdr:row>7</xdr:row>
      <xdr:rowOff>101600</xdr:rowOff>
    </xdr:to>
    <xdr:grpSp>
      <xdr:nvGrpSpPr>
        <xdr:cNvPr id="6" name="Group 1">
          <a:extLst>
            <a:ext uri="{FF2B5EF4-FFF2-40B4-BE49-F238E27FC236}">
              <a16:creationId xmlns:a16="http://schemas.microsoft.com/office/drawing/2014/main" id="{62BF64CE-365B-440B-B67C-BC4B5B421D65}"/>
            </a:ext>
          </a:extLst>
        </xdr:cNvPr>
        <xdr:cNvGrpSpPr>
          <a:grpSpLocks/>
        </xdr:cNvGrpSpPr>
      </xdr:nvGrpSpPr>
      <xdr:grpSpPr bwMode="auto">
        <a:xfrm>
          <a:off x="1480457" y="790121"/>
          <a:ext cx="6668407" cy="225879"/>
          <a:chOff x="1234" y="3654"/>
          <a:chExt cx="9721" cy="360"/>
        </a:xfrm>
      </xdr:grpSpPr>
      <xdr:sp macro="" textlink="">
        <xdr:nvSpPr>
          <xdr:cNvPr id="7" name="Line 2">
            <a:extLst>
              <a:ext uri="{FF2B5EF4-FFF2-40B4-BE49-F238E27FC236}">
                <a16:creationId xmlns:a16="http://schemas.microsoft.com/office/drawing/2014/main" id="{77A19E70-3CB3-D5BB-E698-899B9CC080C4}"/>
              </a:ext>
            </a:extLst>
          </xdr:cNvPr>
          <xdr:cNvSpPr>
            <a:spLocks noChangeShapeType="1"/>
          </xdr:cNvSpPr>
        </xdr:nvSpPr>
        <xdr:spPr bwMode="auto">
          <a:xfrm>
            <a:off x="1234" y="4014"/>
            <a:ext cx="9721" cy="0"/>
          </a:xfrm>
          <a:prstGeom prst="line">
            <a:avLst/>
          </a:prstGeom>
          <a:noFill/>
          <a:ln w="76200">
            <a:solidFill>
              <a:srgbClr val="3366FF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8" name="Line 3">
            <a:extLst>
              <a:ext uri="{FF2B5EF4-FFF2-40B4-BE49-F238E27FC236}">
                <a16:creationId xmlns:a16="http://schemas.microsoft.com/office/drawing/2014/main" id="{BCD45091-9164-F19D-F05F-D655EA596125}"/>
              </a:ext>
            </a:extLst>
          </xdr:cNvPr>
          <xdr:cNvSpPr>
            <a:spLocks noChangeShapeType="1"/>
          </xdr:cNvSpPr>
        </xdr:nvSpPr>
        <xdr:spPr bwMode="auto">
          <a:xfrm>
            <a:off x="1234" y="3834"/>
            <a:ext cx="9721" cy="0"/>
          </a:xfrm>
          <a:prstGeom prst="line">
            <a:avLst/>
          </a:prstGeom>
          <a:noFill/>
          <a:ln w="28575">
            <a:solidFill>
              <a:srgbClr val="3366FF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9" name="Line 4">
            <a:extLst>
              <a:ext uri="{FF2B5EF4-FFF2-40B4-BE49-F238E27FC236}">
                <a16:creationId xmlns:a16="http://schemas.microsoft.com/office/drawing/2014/main" id="{1C91965B-456A-97EE-49BB-4C9B2222BC72}"/>
              </a:ext>
            </a:extLst>
          </xdr:cNvPr>
          <xdr:cNvSpPr>
            <a:spLocks noChangeShapeType="1"/>
          </xdr:cNvSpPr>
        </xdr:nvSpPr>
        <xdr:spPr bwMode="auto">
          <a:xfrm>
            <a:off x="1234" y="3654"/>
            <a:ext cx="9721" cy="0"/>
          </a:xfrm>
          <a:prstGeom prst="line">
            <a:avLst/>
          </a:prstGeom>
          <a:noFill/>
          <a:ln w="12700">
            <a:solidFill>
              <a:srgbClr val="3366FF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</xdr:grpSp>
    <xdr:clientData/>
  </xdr:twoCellAnchor>
  <xdr:twoCellAnchor>
    <xdr:from>
      <xdr:col>8</xdr:col>
      <xdr:colOff>0</xdr:colOff>
      <xdr:row>22</xdr:row>
      <xdr:rowOff>19050</xdr:rowOff>
    </xdr:from>
    <xdr:to>
      <xdr:col>44</xdr:col>
      <xdr:colOff>6350</xdr:colOff>
      <xdr:row>23</xdr:row>
      <xdr:rowOff>114300</xdr:rowOff>
    </xdr:to>
    <xdr:grpSp>
      <xdr:nvGrpSpPr>
        <xdr:cNvPr id="10" name="Group 5">
          <a:extLst>
            <a:ext uri="{FF2B5EF4-FFF2-40B4-BE49-F238E27FC236}">
              <a16:creationId xmlns:a16="http://schemas.microsoft.com/office/drawing/2014/main" id="{A450DC4B-10D0-438C-A642-F4D2F4FC12CE}"/>
            </a:ext>
          </a:extLst>
        </xdr:cNvPr>
        <xdr:cNvGrpSpPr>
          <a:grpSpLocks/>
        </xdr:cNvGrpSpPr>
      </xdr:nvGrpSpPr>
      <xdr:grpSpPr bwMode="auto">
        <a:xfrm>
          <a:off x="1480457" y="2892879"/>
          <a:ext cx="6668407" cy="225878"/>
          <a:chOff x="1234" y="5634"/>
          <a:chExt cx="9721" cy="360"/>
        </a:xfrm>
      </xdr:grpSpPr>
      <xdr:sp macro="" textlink="">
        <xdr:nvSpPr>
          <xdr:cNvPr id="11" name="Line 6">
            <a:extLst>
              <a:ext uri="{FF2B5EF4-FFF2-40B4-BE49-F238E27FC236}">
                <a16:creationId xmlns:a16="http://schemas.microsoft.com/office/drawing/2014/main" id="{C4685CB6-3A7C-B194-E9DC-3936FD623FB9}"/>
              </a:ext>
            </a:extLst>
          </xdr:cNvPr>
          <xdr:cNvSpPr>
            <a:spLocks noChangeShapeType="1"/>
          </xdr:cNvSpPr>
        </xdr:nvSpPr>
        <xdr:spPr bwMode="auto">
          <a:xfrm>
            <a:off x="1234" y="5634"/>
            <a:ext cx="9721" cy="0"/>
          </a:xfrm>
          <a:prstGeom prst="line">
            <a:avLst/>
          </a:prstGeom>
          <a:noFill/>
          <a:ln w="76200">
            <a:solidFill>
              <a:srgbClr val="3366FF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12" name="Line 7">
            <a:extLst>
              <a:ext uri="{FF2B5EF4-FFF2-40B4-BE49-F238E27FC236}">
                <a16:creationId xmlns:a16="http://schemas.microsoft.com/office/drawing/2014/main" id="{76A7460C-6C71-4639-F60A-E3F0D6282036}"/>
              </a:ext>
            </a:extLst>
          </xdr:cNvPr>
          <xdr:cNvSpPr>
            <a:spLocks noChangeShapeType="1"/>
          </xdr:cNvSpPr>
        </xdr:nvSpPr>
        <xdr:spPr bwMode="auto">
          <a:xfrm>
            <a:off x="1234" y="5814"/>
            <a:ext cx="9721" cy="0"/>
          </a:xfrm>
          <a:prstGeom prst="line">
            <a:avLst/>
          </a:prstGeom>
          <a:noFill/>
          <a:ln w="28575">
            <a:solidFill>
              <a:srgbClr val="3366FF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13" name="Line 8">
            <a:extLst>
              <a:ext uri="{FF2B5EF4-FFF2-40B4-BE49-F238E27FC236}">
                <a16:creationId xmlns:a16="http://schemas.microsoft.com/office/drawing/2014/main" id="{BF56B9CB-D3AB-2AB2-62AC-1A203C9A6BBA}"/>
              </a:ext>
            </a:extLst>
          </xdr:cNvPr>
          <xdr:cNvSpPr>
            <a:spLocks noChangeShapeType="1"/>
          </xdr:cNvSpPr>
        </xdr:nvSpPr>
        <xdr:spPr bwMode="auto">
          <a:xfrm>
            <a:off x="1234" y="5994"/>
            <a:ext cx="9721" cy="0"/>
          </a:xfrm>
          <a:prstGeom prst="line">
            <a:avLst/>
          </a:prstGeom>
          <a:noFill/>
          <a:ln w="12700">
            <a:solidFill>
              <a:srgbClr val="3366FF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9</xdr:row>
      <xdr:rowOff>164353</xdr:rowOff>
    </xdr:from>
    <xdr:to>
      <xdr:col>11</xdr:col>
      <xdr:colOff>186765</xdr:colOff>
      <xdr:row>12</xdr:row>
      <xdr:rowOff>51228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4C5667CD-6B08-4F23-A251-77194B42D9F0}"/>
            </a:ext>
          </a:extLst>
        </xdr:cNvPr>
        <xdr:cNvSpPr/>
      </xdr:nvSpPr>
      <xdr:spPr>
        <a:xfrm>
          <a:off x="971176" y="2151529"/>
          <a:ext cx="1352177" cy="58164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1100" kern="1200"/>
            <a:t>Python</a:t>
          </a:r>
        </a:p>
        <a:p>
          <a:pPr algn="ctr"/>
          <a:r>
            <a:rPr kumimoji="1" lang="ja-JP" altLang="en-US" sz="1100" kern="1200"/>
            <a:t>ゲームアプリ</a:t>
          </a:r>
        </a:p>
      </xdr:txBody>
    </xdr:sp>
    <xdr:clientData/>
  </xdr:twoCellAnchor>
  <xdr:twoCellAnchor>
    <xdr:from>
      <xdr:col>20</xdr:col>
      <xdr:colOff>89647</xdr:colOff>
      <xdr:row>9</xdr:row>
      <xdr:rowOff>126999</xdr:rowOff>
    </xdr:from>
    <xdr:to>
      <xdr:col>27</xdr:col>
      <xdr:colOff>37353</xdr:colOff>
      <xdr:row>12</xdr:row>
      <xdr:rowOff>119529</xdr:rowOff>
    </xdr:to>
    <xdr:sp macro="" textlink="">
      <xdr:nvSpPr>
        <xdr:cNvPr id="21" name="フローチャート: 磁気ディスク 20">
          <a:extLst>
            <a:ext uri="{FF2B5EF4-FFF2-40B4-BE49-F238E27FC236}">
              <a16:creationId xmlns:a16="http://schemas.microsoft.com/office/drawing/2014/main" id="{E792463E-67F7-117B-961C-9752D2A58EC7}"/>
            </a:ext>
          </a:extLst>
        </xdr:cNvPr>
        <xdr:cNvSpPr/>
      </xdr:nvSpPr>
      <xdr:spPr>
        <a:xfrm>
          <a:off x="3974353" y="2114175"/>
          <a:ext cx="1307353" cy="687295"/>
        </a:xfrm>
        <a:prstGeom prst="flowChartMagneticDisk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1100" kern="1200"/>
            <a:t>status</a:t>
          </a:r>
          <a:endParaRPr kumimoji="1" lang="ja-JP" altLang="en-US" sz="1100" kern="1200"/>
        </a:p>
      </xdr:txBody>
    </xdr:sp>
    <xdr:clientData/>
  </xdr:twoCellAnchor>
  <xdr:twoCellAnchor>
    <xdr:from>
      <xdr:col>20</xdr:col>
      <xdr:colOff>97117</xdr:colOff>
      <xdr:row>15</xdr:row>
      <xdr:rowOff>134470</xdr:rowOff>
    </xdr:from>
    <xdr:to>
      <xdr:col>27</xdr:col>
      <xdr:colOff>44823</xdr:colOff>
      <xdr:row>18</xdr:row>
      <xdr:rowOff>126999</xdr:rowOff>
    </xdr:to>
    <xdr:sp macro="" textlink="">
      <xdr:nvSpPr>
        <xdr:cNvPr id="22" name="フローチャート: 磁気ディスク 21">
          <a:extLst>
            <a:ext uri="{FF2B5EF4-FFF2-40B4-BE49-F238E27FC236}">
              <a16:creationId xmlns:a16="http://schemas.microsoft.com/office/drawing/2014/main" id="{33EA3E3F-0195-4D3F-A658-F2A337C38A3B}"/>
            </a:ext>
          </a:extLst>
        </xdr:cNvPr>
        <xdr:cNvSpPr/>
      </xdr:nvSpPr>
      <xdr:spPr>
        <a:xfrm>
          <a:off x="3981823" y="3511176"/>
          <a:ext cx="1307353" cy="687294"/>
        </a:xfrm>
        <a:prstGeom prst="flowChartMagneticDisk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1100" kern="1200"/>
            <a:t>map_info</a:t>
          </a:r>
          <a:endParaRPr kumimoji="1" lang="ja-JP" altLang="en-US" sz="1100" kern="1200"/>
        </a:p>
      </xdr:txBody>
    </xdr:sp>
    <xdr:clientData/>
  </xdr:twoCellAnchor>
  <xdr:twoCellAnchor>
    <xdr:from>
      <xdr:col>3</xdr:col>
      <xdr:colOff>104589</xdr:colOff>
      <xdr:row>4</xdr:row>
      <xdr:rowOff>97118</xdr:rowOff>
    </xdr:from>
    <xdr:to>
      <xdr:col>10</xdr:col>
      <xdr:colOff>52295</xdr:colOff>
      <xdr:row>7</xdr:row>
      <xdr:rowOff>89648</xdr:rowOff>
    </xdr:to>
    <xdr:sp macro="" textlink="">
      <xdr:nvSpPr>
        <xdr:cNvPr id="23" name="フローチャート: 磁気ディスク 22">
          <a:extLst>
            <a:ext uri="{FF2B5EF4-FFF2-40B4-BE49-F238E27FC236}">
              <a16:creationId xmlns:a16="http://schemas.microsoft.com/office/drawing/2014/main" id="{9510B80A-E5FC-461A-A157-E7B9E352EE0E}"/>
            </a:ext>
          </a:extLst>
        </xdr:cNvPr>
        <xdr:cNvSpPr/>
      </xdr:nvSpPr>
      <xdr:spPr>
        <a:xfrm>
          <a:off x="687295" y="926353"/>
          <a:ext cx="1307353" cy="687295"/>
        </a:xfrm>
        <a:prstGeom prst="flowChartMagneticDisk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1100" kern="1200"/>
            <a:t>DB</a:t>
          </a:r>
          <a:endParaRPr kumimoji="1" lang="ja-JP" altLang="en-US" sz="1100" kern="1200"/>
        </a:p>
      </xdr:txBody>
    </xdr:sp>
    <xdr:clientData/>
  </xdr:twoCellAnchor>
  <xdr:twoCellAnchor>
    <xdr:from>
      <xdr:col>14</xdr:col>
      <xdr:colOff>0</xdr:colOff>
      <xdr:row>5</xdr:row>
      <xdr:rowOff>0</xdr:rowOff>
    </xdr:from>
    <xdr:to>
      <xdr:col>20</xdr:col>
      <xdr:colOff>186765</xdr:colOff>
      <xdr:row>7</xdr:row>
      <xdr:rowOff>51228</xdr:rowOff>
    </xdr:to>
    <xdr:sp macro="" textlink="">
      <xdr:nvSpPr>
        <xdr:cNvPr id="24" name="正方形/長方形 23">
          <a:extLst>
            <a:ext uri="{FF2B5EF4-FFF2-40B4-BE49-F238E27FC236}">
              <a16:creationId xmlns:a16="http://schemas.microsoft.com/office/drawing/2014/main" id="{22090B4D-8101-43A1-851C-79E88CDF17E2}"/>
            </a:ext>
          </a:extLst>
        </xdr:cNvPr>
        <xdr:cNvSpPr/>
      </xdr:nvSpPr>
      <xdr:spPr>
        <a:xfrm>
          <a:off x="2719294" y="1060824"/>
          <a:ext cx="1352177" cy="51440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1100" kern="1200"/>
            <a:t>アプリ</a:t>
          </a:r>
        </a:p>
      </xdr:txBody>
    </xdr:sp>
    <xdr:clientData/>
  </xdr:twoCellAnchor>
  <xdr:twoCellAnchor>
    <xdr:from>
      <xdr:col>11</xdr:col>
      <xdr:colOff>186765</xdr:colOff>
      <xdr:row>10</xdr:row>
      <xdr:rowOff>223584</xdr:rowOff>
    </xdr:from>
    <xdr:to>
      <xdr:col>20</xdr:col>
      <xdr:colOff>89647</xdr:colOff>
      <xdr:row>11</xdr:row>
      <xdr:rowOff>7470</xdr:rowOff>
    </xdr:to>
    <xdr:cxnSp macro="">
      <xdr:nvCxnSpPr>
        <xdr:cNvPr id="26" name="直線矢印コネクタ 25">
          <a:extLst>
            <a:ext uri="{FF2B5EF4-FFF2-40B4-BE49-F238E27FC236}">
              <a16:creationId xmlns:a16="http://schemas.microsoft.com/office/drawing/2014/main" id="{9942BF17-FF37-E011-ADB5-B471282DCFC1}"/>
            </a:ext>
          </a:extLst>
        </xdr:cNvPr>
        <xdr:cNvCxnSpPr>
          <a:stCxn id="12" idx="3"/>
          <a:endCxn id="21" idx="2"/>
        </xdr:cNvCxnSpPr>
      </xdr:nvCxnSpPr>
      <xdr:spPr>
        <a:xfrm>
          <a:off x="2323353" y="2442349"/>
          <a:ext cx="1651000" cy="15474"/>
        </a:xfrm>
        <a:prstGeom prst="straightConnector1">
          <a:avLst/>
        </a:prstGeom>
        <a:ln w="19050">
          <a:solidFill>
            <a:sysClr val="windowText" lastClr="00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186765</xdr:colOff>
      <xdr:row>10</xdr:row>
      <xdr:rowOff>223584</xdr:rowOff>
    </xdr:from>
    <xdr:to>
      <xdr:col>20</xdr:col>
      <xdr:colOff>97117</xdr:colOff>
      <xdr:row>17</xdr:row>
      <xdr:rowOff>14941</xdr:rowOff>
    </xdr:to>
    <xdr:cxnSp macro="">
      <xdr:nvCxnSpPr>
        <xdr:cNvPr id="31" name="直線矢印コネクタ 30">
          <a:extLst>
            <a:ext uri="{FF2B5EF4-FFF2-40B4-BE49-F238E27FC236}">
              <a16:creationId xmlns:a16="http://schemas.microsoft.com/office/drawing/2014/main" id="{AF64195B-3474-497C-AF7F-B4C893C24EA4}"/>
            </a:ext>
          </a:extLst>
        </xdr:cNvPr>
        <xdr:cNvCxnSpPr>
          <a:stCxn id="12" idx="3"/>
          <a:endCxn id="22" idx="2"/>
        </xdr:cNvCxnSpPr>
      </xdr:nvCxnSpPr>
      <xdr:spPr>
        <a:xfrm>
          <a:off x="2323353" y="2442349"/>
          <a:ext cx="1658470" cy="1412474"/>
        </a:xfrm>
        <a:prstGeom prst="straightConnector1">
          <a:avLst/>
        </a:prstGeom>
        <a:ln w="19050">
          <a:solidFill>
            <a:sysClr val="windowText" lastClr="00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119530</xdr:colOff>
      <xdr:row>4</xdr:row>
      <xdr:rowOff>209177</xdr:rowOff>
    </xdr:from>
    <xdr:to>
      <xdr:col>35</xdr:col>
      <xdr:colOff>134471</xdr:colOff>
      <xdr:row>7</xdr:row>
      <xdr:rowOff>97118</xdr:rowOff>
    </xdr:to>
    <xdr:sp macro="" textlink="">
      <xdr:nvSpPr>
        <xdr:cNvPr id="37" name="四角形: 角を丸くする 36">
          <a:extLst>
            <a:ext uri="{FF2B5EF4-FFF2-40B4-BE49-F238E27FC236}">
              <a16:creationId xmlns:a16="http://schemas.microsoft.com/office/drawing/2014/main" id="{DB984868-D6AA-55CD-1666-6F79E3D1822C}"/>
            </a:ext>
          </a:extLst>
        </xdr:cNvPr>
        <xdr:cNvSpPr/>
      </xdr:nvSpPr>
      <xdr:spPr>
        <a:xfrm>
          <a:off x="4392706" y="1038412"/>
          <a:ext cx="2540000" cy="582706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1100" kern="1200"/>
            <a:t>ゲートウェイ</a:t>
          </a:r>
        </a:p>
      </xdr:txBody>
    </xdr:sp>
    <xdr:clientData/>
  </xdr:twoCellAnchor>
  <xdr:twoCellAnchor>
    <xdr:from>
      <xdr:col>16</xdr:col>
      <xdr:colOff>67234</xdr:colOff>
      <xdr:row>29</xdr:row>
      <xdr:rowOff>224117</xdr:rowOff>
    </xdr:from>
    <xdr:to>
      <xdr:col>29</xdr:col>
      <xdr:colOff>82175</xdr:colOff>
      <xdr:row>32</xdr:row>
      <xdr:rowOff>112058</xdr:rowOff>
    </xdr:to>
    <xdr:sp macro="" textlink="">
      <xdr:nvSpPr>
        <xdr:cNvPr id="38" name="四角形: 角を丸くする 37">
          <a:extLst>
            <a:ext uri="{FF2B5EF4-FFF2-40B4-BE49-F238E27FC236}">
              <a16:creationId xmlns:a16="http://schemas.microsoft.com/office/drawing/2014/main" id="{4B147B79-1741-42CA-8C6C-FC72BBC10A66}"/>
            </a:ext>
          </a:extLst>
        </xdr:cNvPr>
        <xdr:cNvSpPr/>
      </xdr:nvSpPr>
      <xdr:spPr>
        <a:xfrm>
          <a:off x="3174999" y="6843058"/>
          <a:ext cx="2540000" cy="582706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1100" kern="1200"/>
            <a:t>ゲートウェイ</a:t>
          </a:r>
        </a:p>
      </xdr:txBody>
    </xdr:sp>
    <xdr:clientData/>
  </xdr:twoCellAnchor>
  <xdr:twoCellAnchor editAs="oneCell">
    <xdr:from>
      <xdr:col>5</xdr:col>
      <xdr:colOff>65337</xdr:colOff>
      <xdr:row>22</xdr:row>
      <xdr:rowOff>0</xdr:rowOff>
    </xdr:from>
    <xdr:to>
      <xdr:col>12</xdr:col>
      <xdr:colOff>0</xdr:colOff>
      <xdr:row>27</xdr:row>
      <xdr:rowOff>37352</xdr:rowOff>
    </xdr:to>
    <xdr:pic>
      <xdr:nvPicPr>
        <xdr:cNvPr id="39" name="図 38">
          <a:extLst>
            <a:ext uri="{FF2B5EF4-FFF2-40B4-BE49-F238E27FC236}">
              <a16:creationId xmlns:a16="http://schemas.microsoft.com/office/drawing/2014/main" id="{479CE6D1-6542-2A4A-0491-83145E1F6E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36513" y="4997824"/>
          <a:ext cx="1294311" cy="1195293"/>
        </a:xfrm>
        <a:prstGeom prst="rect">
          <a:avLst/>
        </a:prstGeom>
      </xdr:spPr>
    </xdr:pic>
    <xdr:clientData/>
  </xdr:twoCellAnchor>
  <xdr:twoCellAnchor editAs="oneCell">
    <xdr:from>
      <xdr:col>32</xdr:col>
      <xdr:colOff>7470</xdr:colOff>
      <xdr:row>22</xdr:row>
      <xdr:rowOff>29882</xdr:rowOff>
    </xdr:from>
    <xdr:to>
      <xdr:col>38</xdr:col>
      <xdr:colOff>136369</xdr:colOff>
      <xdr:row>27</xdr:row>
      <xdr:rowOff>67234</xdr:rowOff>
    </xdr:to>
    <xdr:pic>
      <xdr:nvPicPr>
        <xdr:cNvPr id="40" name="図 39">
          <a:extLst>
            <a:ext uri="{FF2B5EF4-FFF2-40B4-BE49-F238E27FC236}">
              <a16:creationId xmlns:a16="http://schemas.microsoft.com/office/drawing/2014/main" id="{EAA0952A-66D1-4EFE-8DAA-565A764FA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22999" y="5027706"/>
          <a:ext cx="1294311" cy="1195293"/>
        </a:xfrm>
        <a:prstGeom prst="rect">
          <a:avLst/>
        </a:prstGeom>
      </xdr:spPr>
    </xdr:pic>
    <xdr:clientData/>
  </xdr:twoCellAnchor>
  <xdr:twoCellAnchor>
    <xdr:from>
      <xdr:col>12</xdr:col>
      <xdr:colOff>0</xdr:colOff>
      <xdr:row>24</xdr:row>
      <xdr:rowOff>134471</xdr:rowOff>
    </xdr:from>
    <xdr:to>
      <xdr:col>22</xdr:col>
      <xdr:colOff>171823</xdr:colOff>
      <xdr:row>29</xdr:row>
      <xdr:rowOff>224117</xdr:rowOff>
    </xdr:to>
    <xdr:cxnSp macro="">
      <xdr:nvCxnSpPr>
        <xdr:cNvPr id="41" name="直線矢印コネクタ 40">
          <a:extLst>
            <a:ext uri="{FF2B5EF4-FFF2-40B4-BE49-F238E27FC236}">
              <a16:creationId xmlns:a16="http://schemas.microsoft.com/office/drawing/2014/main" id="{6E701E6A-2504-4326-BB17-25DA213DE795}"/>
            </a:ext>
          </a:extLst>
        </xdr:cNvPr>
        <xdr:cNvCxnSpPr>
          <a:stCxn id="39" idx="3"/>
          <a:endCxn id="38" idx="0"/>
        </xdr:cNvCxnSpPr>
      </xdr:nvCxnSpPr>
      <xdr:spPr>
        <a:xfrm>
          <a:off x="2330824" y="5595471"/>
          <a:ext cx="2114175" cy="1247587"/>
        </a:xfrm>
        <a:prstGeom prst="straightConnector1">
          <a:avLst/>
        </a:prstGeom>
        <a:ln w="19050">
          <a:solidFill>
            <a:sysClr val="windowText" lastClr="00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171823</xdr:colOff>
      <xdr:row>24</xdr:row>
      <xdr:rowOff>164353</xdr:rowOff>
    </xdr:from>
    <xdr:to>
      <xdr:col>32</xdr:col>
      <xdr:colOff>7470</xdr:colOff>
      <xdr:row>29</xdr:row>
      <xdr:rowOff>224117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52ABFFF2-A413-4C95-9251-98CF477FA2EC}"/>
            </a:ext>
          </a:extLst>
        </xdr:cNvPr>
        <xdr:cNvCxnSpPr>
          <a:stCxn id="40" idx="1"/>
          <a:endCxn id="38" idx="0"/>
        </xdr:cNvCxnSpPr>
      </xdr:nvCxnSpPr>
      <xdr:spPr>
        <a:xfrm flipH="1">
          <a:off x="4444999" y="5625353"/>
          <a:ext cx="1778000" cy="1217705"/>
        </a:xfrm>
        <a:prstGeom prst="straightConnector1">
          <a:avLst/>
        </a:prstGeom>
        <a:ln w="19050">
          <a:solidFill>
            <a:sysClr val="windowText" lastClr="00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7</xdr:row>
      <xdr:rowOff>0</xdr:rowOff>
    </xdr:from>
    <xdr:to>
      <xdr:col>18</xdr:col>
      <xdr:colOff>135438</xdr:colOff>
      <xdr:row>9</xdr:row>
      <xdr:rowOff>198688</xdr:rowOff>
    </xdr:to>
    <xdr:sp macro="" textlink="">
      <xdr:nvSpPr>
        <xdr:cNvPr id="9" name="角丸四角形 3">
          <a:extLst>
            <a:ext uri="{FF2B5EF4-FFF2-40B4-BE49-F238E27FC236}">
              <a16:creationId xmlns:a16="http://schemas.microsoft.com/office/drawing/2014/main" id="{7C28D39D-FCBC-4FFD-8628-43C9D0606C97}"/>
            </a:ext>
          </a:extLst>
        </xdr:cNvPr>
        <xdr:cNvSpPr/>
      </xdr:nvSpPr>
      <xdr:spPr>
        <a:xfrm>
          <a:off x="2579688" y="1841500"/>
          <a:ext cx="1127625" cy="659063"/>
        </a:xfrm>
        <a:prstGeom prst="roundRect">
          <a:avLst/>
        </a:prstGeom>
        <a:solidFill>
          <a:schemeClr val="bg1">
            <a:lumMod val="95000"/>
          </a:schemeClr>
        </a:solidFill>
        <a:ln w="31750" cmpd="thinThick">
          <a:solidFill>
            <a:sysClr val="windowText" lastClr="000000"/>
          </a:solidFill>
          <a:prstDash val="soli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ctr"/>
          <a:r>
            <a:rPr kumimoji="1" lang="ja-JP" altLang="en-US" sz="1050">
              <a:solidFill>
                <a:sysClr val="windowText" lastClr="000000"/>
              </a:solidFill>
              <a:latin typeface="游ゴシック" panose="020B0400000000000000" pitchFamily="50" charset="-128"/>
              <a:ea typeface="游ゴシック" panose="020B0400000000000000" pitchFamily="50" charset="-128"/>
            </a:rPr>
            <a:t>タイトル画面</a:t>
          </a:r>
        </a:p>
      </xdr:txBody>
    </xdr:sp>
    <xdr:clientData/>
  </xdr:twoCellAnchor>
  <xdr:twoCellAnchor>
    <xdr:from>
      <xdr:col>44</xdr:col>
      <xdr:colOff>85726</xdr:colOff>
      <xdr:row>62</xdr:row>
      <xdr:rowOff>47625</xdr:rowOff>
    </xdr:from>
    <xdr:to>
      <xdr:col>50</xdr:col>
      <xdr:colOff>22726</xdr:colOff>
      <xdr:row>65</xdr:row>
      <xdr:rowOff>16125</xdr:rowOff>
    </xdr:to>
    <xdr:sp macro="" textlink="">
      <xdr:nvSpPr>
        <xdr:cNvPr id="16" name="角丸四角形 3">
          <a:extLst>
            <a:ext uri="{FF2B5EF4-FFF2-40B4-BE49-F238E27FC236}">
              <a16:creationId xmlns:a16="http://schemas.microsoft.com/office/drawing/2014/main" id="{F49AE9E7-2460-41C1-941E-D2BEE3530FBB}"/>
            </a:ext>
          </a:extLst>
        </xdr:cNvPr>
        <xdr:cNvSpPr/>
      </xdr:nvSpPr>
      <xdr:spPr>
        <a:xfrm>
          <a:off x="7458076" y="5470525"/>
          <a:ext cx="965700" cy="540000"/>
        </a:xfrm>
        <a:prstGeom prst="roundRect">
          <a:avLst/>
        </a:prstGeom>
        <a:solidFill>
          <a:schemeClr val="bg1">
            <a:lumMod val="95000"/>
          </a:schemeClr>
        </a:solidFill>
        <a:ln w="31750" cmpd="thinThick">
          <a:solidFill>
            <a:sysClr val="windowText" lastClr="000000"/>
          </a:solidFill>
          <a:prstDash val="soli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ctr"/>
          <a:r>
            <a:rPr kumimoji="1" lang="ja-JP" altLang="en-US" sz="1050">
              <a:solidFill>
                <a:sysClr val="windowText" lastClr="000000"/>
              </a:solidFill>
              <a:latin typeface="游ゴシック" panose="020B0400000000000000" pitchFamily="50" charset="-128"/>
              <a:ea typeface="游ゴシック" panose="020B0400000000000000" pitchFamily="50" charset="-128"/>
            </a:rPr>
            <a:t>画面</a:t>
          </a:r>
        </a:p>
      </xdr:txBody>
    </xdr:sp>
    <xdr:clientData/>
  </xdr:twoCellAnchor>
  <xdr:twoCellAnchor>
    <xdr:from>
      <xdr:col>44</xdr:col>
      <xdr:colOff>63000</xdr:colOff>
      <xdr:row>66</xdr:row>
      <xdr:rowOff>57000</xdr:rowOff>
    </xdr:from>
    <xdr:to>
      <xdr:col>50</xdr:col>
      <xdr:colOff>0</xdr:colOff>
      <xdr:row>68</xdr:row>
      <xdr:rowOff>0</xdr:rowOff>
    </xdr:to>
    <xdr:sp macro="" textlink="">
      <xdr:nvSpPr>
        <xdr:cNvPr id="18" name="正方形/長方形 17">
          <a:extLst>
            <a:ext uri="{FF2B5EF4-FFF2-40B4-BE49-F238E27FC236}">
              <a16:creationId xmlns:a16="http://schemas.microsoft.com/office/drawing/2014/main" id="{75C8E52A-D7A3-4AD9-8D42-AE502CDD961F}"/>
            </a:ext>
          </a:extLst>
        </xdr:cNvPr>
        <xdr:cNvSpPr/>
      </xdr:nvSpPr>
      <xdr:spPr>
        <a:xfrm>
          <a:off x="8794250" y="7653188"/>
          <a:ext cx="1127625" cy="403375"/>
        </a:xfrm>
        <a:prstGeom prst="rect">
          <a:avLst/>
        </a:prstGeom>
        <a:solidFill>
          <a:schemeClr val="tx1"/>
        </a:solidFill>
        <a:ln w="19050" cmpd="sng">
          <a:solidFill>
            <a:sysClr val="windowText" lastClr="000000"/>
          </a:solidFill>
          <a:prstDash val="soli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ctr"/>
          <a:r>
            <a:rPr kumimoji="1" lang="ja-JP" altLang="en-US" sz="1050">
              <a:solidFill>
                <a:schemeClr val="bg1"/>
              </a:solidFill>
              <a:latin typeface="游ゴシック" panose="020B0400000000000000" pitchFamily="50" charset="-128"/>
              <a:ea typeface="游ゴシック" panose="020B0400000000000000" pitchFamily="50" charset="-128"/>
            </a:rPr>
            <a:t>処理</a:t>
          </a:r>
        </a:p>
      </xdr:txBody>
    </xdr:sp>
    <xdr:clientData/>
  </xdr:twoCellAnchor>
  <xdr:twoCellAnchor>
    <xdr:from>
      <xdr:col>51</xdr:col>
      <xdr:colOff>66675</xdr:colOff>
      <xdr:row>62</xdr:row>
      <xdr:rowOff>9525</xdr:rowOff>
    </xdr:from>
    <xdr:to>
      <xdr:col>58</xdr:col>
      <xdr:colOff>142874</xdr:colOff>
      <xdr:row>64</xdr:row>
      <xdr:rowOff>168525</xdr:rowOff>
    </xdr:to>
    <xdr:sp macro="" textlink="">
      <xdr:nvSpPr>
        <xdr:cNvPr id="19" name="フローチャート: 判断 18">
          <a:extLst>
            <a:ext uri="{FF2B5EF4-FFF2-40B4-BE49-F238E27FC236}">
              <a16:creationId xmlns:a16="http://schemas.microsoft.com/office/drawing/2014/main" id="{122C67F0-DC01-4BE2-924A-39BAF3D29F4A}"/>
            </a:ext>
          </a:extLst>
        </xdr:cNvPr>
        <xdr:cNvSpPr/>
      </xdr:nvSpPr>
      <xdr:spPr>
        <a:xfrm>
          <a:off x="8639175" y="5432425"/>
          <a:ext cx="1276349" cy="540000"/>
        </a:xfrm>
        <a:prstGeom prst="flowChartDecision">
          <a:avLst/>
        </a:prstGeom>
        <a:noFill/>
        <a:ln w="19050" cmpd="sng">
          <a:solidFill>
            <a:sysClr val="windowText" lastClr="000000"/>
          </a:solidFill>
          <a:prstDash val="soli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游ゴシック" panose="020B0400000000000000" pitchFamily="50" charset="-128"/>
              <a:ea typeface="游ゴシック" panose="020B0400000000000000" pitchFamily="50" charset="-128"/>
            </a:rPr>
            <a:t>条件分岐</a:t>
          </a:r>
        </a:p>
      </xdr:txBody>
    </xdr:sp>
    <xdr:clientData/>
  </xdr:twoCellAnchor>
  <xdr:twoCellAnchor>
    <xdr:from>
      <xdr:col>13</xdr:col>
      <xdr:colOff>0</xdr:colOff>
      <xdr:row>19</xdr:row>
      <xdr:rowOff>150562</xdr:rowOff>
    </xdr:from>
    <xdr:to>
      <xdr:col>18</xdr:col>
      <xdr:colOff>135438</xdr:colOff>
      <xdr:row>22</xdr:row>
      <xdr:rowOff>119062</xdr:rowOff>
    </xdr:to>
    <xdr:sp macro="" textlink="">
      <xdr:nvSpPr>
        <xdr:cNvPr id="22" name="角丸四角形 3">
          <a:extLst>
            <a:ext uri="{FF2B5EF4-FFF2-40B4-BE49-F238E27FC236}">
              <a16:creationId xmlns:a16="http://schemas.microsoft.com/office/drawing/2014/main" id="{26E8D4A5-DEC9-40AF-B3FB-2BA62C62F731}"/>
            </a:ext>
          </a:extLst>
        </xdr:cNvPr>
        <xdr:cNvSpPr/>
      </xdr:nvSpPr>
      <xdr:spPr>
        <a:xfrm>
          <a:off x="2579688" y="4754312"/>
          <a:ext cx="1127625" cy="659063"/>
        </a:xfrm>
        <a:prstGeom prst="roundRect">
          <a:avLst/>
        </a:prstGeom>
        <a:solidFill>
          <a:schemeClr val="bg1">
            <a:lumMod val="95000"/>
          </a:schemeClr>
        </a:solidFill>
        <a:ln w="31750" cmpd="thinThick">
          <a:solidFill>
            <a:sysClr val="windowText" lastClr="000000"/>
          </a:solidFill>
          <a:prstDash val="soli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ctr"/>
          <a:r>
            <a:rPr kumimoji="1" lang="ja-JP" altLang="en-US" sz="1050">
              <a:solidFill>
                <a:sysClr val="windowText" lastClr="000000"/>
              </a:solidFill>
              <a:latin typeface="游ゴシック" panose="020B0400000000000000" pitchFamily="50" charset="-128"/>
              <a:ea typeface="游ゴシック" panose="020B0400000000000000" pitchFamily="50" charset="-128"/>
            </a:rPr>
            <a:t>ゲーム説明</a:t>
          </a:r>
          <a:endParaRPr kumimoji="1" lang="en-US" altLang="ja-JP" sz="1050">
            <a:solidFill>
              <a:sysClr val="windowText" lastClr="000000"/>
            </a:solidFill>
            <a:latin typeface="游ゴシック" panose="020B0400000000000000" pitchFamily="50" charset="-128"/>
            <a:ea typeface="游ゴシック" panose="020B0400000000000000" pitchFamily="50" charset="-128"/>
          </a:endParaRPr>
        </a:p>
        <a:p>
          <a:pPr algn="ctr"/>
          <a:r>
            <a:rPr kumimoji="1" lang="ja-JP" altLang="en-US" sz="1050">
              <a:solidFill>
                <a:sysClr val="windowText" lastClr="000000"/>
              </a:solidFill>
              <a:latin typeface="游ゴシック" panose="020B0400000000000000" pitchFamily="50" charset="-128"/>
              <a:ea typeface="游ゴシック" panose="020B0400000000000000" pitchFamily="50" charset="-128"/>
            </a:rPr>
            <a:t>画面</a:t>
          </a:r>
        </a:p>
      </xdr:txBody>
    </xdr:sp>
    <xdr:clientData/>
  </xdr:twoCellAnchor>
  <xdr:twoCellAnchor>
    <xdr:from>
      <xdr:col>15</xdr:col>
      <xdr:colOff>166688</xdr:colOff>
      <xdr:row>9</xdr:row>
      <xdr:rowOff>198688</xdr:rowOff>
    </xdr:from>
    <xdr:to>
      <xdr:col>15</xdr:col>
      <xdr:colOff>166938</xdr:colOff>
      <xdr:row>12</xdr:row>
      <xdr:rowOff>47624</xdr:rowOff>
    </xdr:to>
    <xdr:cxnSp macro="">
      <xdr:nvCxnSpPr>
        <xdr:cNvPr id="24" name="直線矢印コネクタ 23">
          <a:extLst>
            <a:ext uri="{FF2B5EF4-FFF2-40B4-BE49-F238E27FC236}">
              <a16:creationId xmlns:a16="http://schemas.microsoft.com/office/drawing/2014/main" id="{782D8BBA-99E4-43AC-CE92-A957CEAF99FE}"/>
            </a:ext>
          </a:extLst>
        </xdr:cNvPr>
        <xdr:cNvCxnSpPr>
          <a:stCxn id="9" idx="2"/>
          <a:endCxn id="31" idx="0"/>
        </xdr:cNvCxnSpPr>
      </xdr:nvCxnSpPr>
      <xdr:spPr>
        <a:xfrm flipH="1">
          <a:off x="3143251" y="2500563"/>
          <a:ext cx="250" cy="539499"/>
        </a:xfrm>
        <a:prstGeom prst="straightConnector1">
          <a:avLst/>
        </a:prstGeom>
        <a:ln w="28575"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25</xdr:row>
      <xdr:rowOff>0</xdr:rowOff>
    </xdr:from>
    <xdr:to>
      <xdr:col>18</xdr:col>
      <xdr:colOff>135438</xdr:colOff>
      <xdr:row>27</xdr:row>
      <xdr:rowOff>198688</xdr:rowOff>
    </xdr:to>
    <xdr:sp macro="" textlink="">
      <xdr:nvSpPr>
        <xdr:cNvPr id="29" name="角丸四角形 3">
          <a:extLst>
            <a:ext uri="{FF2B5EF4-FFF2-40B4-BE49-F238E27FC236}">
              <a16:creationId xmlns:a16="http://schemas.microsoft.com/office/drawing/2014/main" id="{7F48DB83-0154-4650-8F5E-2E4F12065C99}"/>
            </a:ext>
          </a:extLst>
        </xdr:cNvPr>
        <xdr:cNvSpPr/>
      </xdr:nvSpPr>
      <xdr:spPr>
        <a:xfrm>
          <a:off x="2579688" y="5984875"/>
          <a:ext cx="1127625" cy="659063"/>
        </a:xfrm>
        <a:prstGeom prst="roundRect">
          <a:avLst/>
        </a:prstGeom>
        <a:solidFill>
          <a:schemeClr val="bg1">
            <a:lumMod val="95000"/>
          </a:schemeClr>
        </a:solidFill>
        <a:ln w="31750" cmpd="thinThick">
          <a:solidFill>
            <a:sysClr val="windowText" lastClr="000000"/>
          </a:solidFill>
          <a:prstDash val="soli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ctr"/>
          <a:r>
            <a:rPr kumimoji="1" lang="ja-JP" altLang="en-US" sz="1050">
              <a:solidFill>
                <a:sysClr val="windowText" lastClr="000000"/>
              </a:solidFill>
              <a:latin typeface="游ゴシック" panose="020B0400000000000000" pitchFamily="50" charset="-128"/>
              <a:ea typeface="游ゴシック" panose="020B0400000000000000" pitchFamily="50" charset="-128"/>
            </a:rPr>
            <a:t>フィールド</a:t>
          </a:r>
          <a:endParaRPr kumimoji="1" lang="en-US" altLang="ja-JP" sz="1050">
            <a:solidFill>
              <a:sysClr val="windowText" lastClr="000000"/>
            </a:solidFill>
            <a:latin typeface="游ゴシック" panose="020B0400000000000000" pitchFamily="50" charset="-128"/>
            <a:ea typeface="游ゴシック" panose="020B0400000000000000" pitchFamily="50" charset="-128"/>
          </a:endParaRPr>
        </a:p>
        <a:p>
          <a:pPr algn="ctr"/>
          <a:r>
            <a:rPr kumimoji="1" lang="ja-JP" altLang="en-US" sz="1050">
              <a:solidFill>
                <a:sysClr val="windowText" lastClr="000000"/>
              </a:solidFill>
              <a:latin typeface="游ゴシック" panose="020B0400000000000000" pitchFamily="50" charset="-128"/>
              <a:ea typeface="游ゴシック" panose="020B0400000000000000" pitchFamily="50" charset="-128"/>
            </a:rPr>
            <a:t>画面</a:t>
          </a:r>
        </a:p>
      </xdr:txBody>
    </xdr:sp>
    <xdr:clientData/>
  </xdr:twoCellAnchor>
  <xdr:twoCellAnchor>
    <xdr:from>
      <xdr:col>10</xdr:col>
      <xdr:colOff>71438</xdr:colOff>
      <xdr:row>12</xdr:row>
      <xdr:rowOff>47624</xdr:rowOff>
    </xdr:from>
    <xdr:to>
      <xdr:col>21</xdr:col>
      <xdr:colOff>63500</xdr:colOff>
      <xdr:row>17</xdr:row>
      <xdr:rowOff>55562</xdr:rowOff>
    </xdr:to>
    <xdr:sp macro="" textlink="">
      <xdr:nvSpPr>
        <xdr:cNvPr id="31" name="フローチャート: 判断 30">
          <a:extLst>
            <a:ext uri="{FF2B5EF4-FFF2-40B4-BE49-F238E27FC236}">
              <a16:creationId xmlns:a16="http://schemas.microsoft.com/office/drawing/2014/main" id="{AF2B1AFA-A1AF-4AAC-BA50-9C44B37BE836}"/>
            </a:ext>
          </a:extLst>
        </xdr:cNvPr>
        <xdr:cNvSpPr/>
      </xdr:nvSpPr>
      <xdr:spPr>
        <a:xfrm>
          <a:off x="2055813" y="3040062"/>
          <a:ext cx="2174875" cy="1158875"/>
        </a:xfrm>
        <a:prstGeom prst="flowChartDecision">
          <a:avLst/>
        </a:prstGeom>
        <a:noFill/>
        <a:ln w="19050" cmpd="sng">
          <a:solidFill>
            <a:sysClr val="windowText" lastClr="000000"/>
          </a:solidFill>
          <a:prstDash val="soli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ctr"/>
          <a:r>
            <a:rPr kumimoji="1" lang="en-US" altLang="ja-JP" sz="1000">
              <a:solidFill>
                <a:sysClr val="windowText" lastClr="000000"/>
              </a:solidFill>
              <a:latin typeface="游ゴシック" panose="020B0400000000000000" pitchFamily="50" charset="-128"/>
              <a:ea typeface="游ゴシック" panose="020B0400000000000000" pitchFamily="50" charset="-128"/>
            </a:rPr>
            <a:t>New Game or</a:t>
          </a:r>
        </a:p>
        <a:p>
          <a:pPr algn="ctr"/>
          <a:r>
            <a:rPr kumimoji="1" lang="en-US" altLang="ja-JP" sz="1000">
              <a:solidFill>
                <a:sysClr val="windowText" lastClr="000000"/>
              </a:solidFill>
              <a:latin typeface="游ゴシック" panose="020B0400000000000000" pitchFamily="50" charset="-128"/>
              <a:ea typeface="游ゴシック" panose="020B0400000000000000" pitchFamily="50" charset="-128"/>
            </a:rPr>
            <a:t>Continue</a:t>
          </a:r>
        </a:p>
        <a:p>
          <a:pPr algn="ctr"/>
          <a:endParaRPr kumimoji="1" lang="ja-JP" altLang="en-US" sz="1000">
            <a:solidFill>
              <a:sysClr val="windowText" lastClr="000000"/>
            </a:solidFill>
            <a:latin typeface="游ゴシック" panose="020B0400000000000000" pitchFamily="50" charset="-128"/>
            <a:ea typeface="游ゴシック" panose="020B0400000000000000" pitchFamily="50" charset="-128"/>
          </a:endParaRPr>
        </a:p>
      </xdr:txBody>
    </xdr:sp>
    <xdr:clientData/>
  </xdr:twoCellAnchor>
  <xdr:twoCellAnchor>
    <xdr:from>
      <xdr:col>15</xdr:col>
      <xdr:colOff>164587</xdr:colOff>
      <xdr:row>17</xdr:row>
      <xdr:rowOff>55562</xdr:rowOff>
    </xdr:from>
    <xdr:to>
      <xdr:col>15</xdr:col>
      <xdr:colOff>164837</xdr:colOff>
      <xdr:row>19</xdr:row>
      <xdr:rowOff>150562</xdr:rowOff>
    </xdr:to>
    <xdr:cxnSp macro="">
      <xdr:nvCxnSpPr>
        <xdr:cNvPr id="45" name="直線矢印コネクタ 44">
          <a:extLst>
            <a:ext uri="{FF2B5EF4-FFF2-40B4-BE49-F238E27FC236}">
              <a16:creationId xmlns:a16="http://schemas.microsoft.com/office/drawing/2014/main" id="{8EF6FE32-09CA-4F1B-A046-0BD5110EB47F}"/>
            </a:ext>
          </a:extLst>
        </xdr:cNvPr>
        <xdr:cNvCxnSpPr>
          <a:stCxn id="31" idx="2"/>
          <a:endCxn id="22" idx="0"/>
        </xdr:cNvCxnSpPr>
      </xdr:nvCxnSpPr>
      <xdr:spPr>
        <a:xfrm>
          <a:off x="3078116" y="4224150"/>
          <a:ext cx="250" cy="558177"/>
        </a:xfrm>
        <a:prstGeom prst="straightConnector1">
          <a:avLst/>
        </a:prstGeom>
        <a:ln w="28575"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164837</xdr:colOff>
      <xdr:row>22</xdr:row>
      <xdr:rowOff>119062</xdr:rowOff>
    </xdr:from>
    <xdr:to>
      <xdr:col>15</xdr:col>
      <xdr:colOff>164837</xdr:colOff>
      <xdr:row>25</xdr:row>
      <xdr:rowOff>0</xdr:rowOff>
    </xdr:to>
    <xdr:cxnSp macro="">
      <xdr:nvCxnSpPr>
        <xdr:cNvPr id="49" name="直線矢印コネクタ 48">
          <a:extLst>
            <a:ext uri="{FF2B5EF4-FFF2-40B4-BE49-F238E27FC236}">
              <a16:creationId xmlns:a16="http://schemas.microsoft.com/office/drawing/2014/main" id="{241A8D3C-D84B-4B96-A5C0-D5CFE7D010D2}"/>
            </a:ext>
          </a:extLst>
        </xdr:cNvPr>
        <xdr:cNvCxnSpPr>
          <a:stCxn id="22" idx="2"/>
          <a:endCxn id="29" idx="0"/>
        </xdr:cNvCxnSpPr>
      </xdr:nvCxnSpPr>
      <xdr:spPr>
        <a:xfrm>
          <a:off x="3078366" y="5445591"/>
          <a:ext cx="0" cy="575703"/>
        </a:xfrm>
        <a:prstGeom prst="straightConnector1">
          <a:avLst/>
        </a:prstGeom>
        <a:ln w="28575"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104588</xdr:colOff>
      <xdr:row>30</xdr:row>
      <xdr:rowOff>52294</xdr:rowOff>
    </xdr:from>
    <xdr:to>
      <xdr:col>20</xdr:col>
      <xdr:colOff>29882</xdr:colOff>
      <xdr:row>33</xdr:row>
      <xdr:rowOff>136590</xdr:rowOff>
    </xdr:to>
    <xdr:sp macro="" textlink="">
      <xdr:nvSpPr>
        <xdr:cNvPr id="57" name="フローチャート: 判断 56">
          <a:extLst>
            <a:ext uri="{FF2B5EF4-FFF2-40B4-BE49-F238E27FC236}">
              <a16:creationId xmlns:a16="http://schemas.microsoft.com/office/drawing/2014/main" id="{A84C59FA-908C-40ED-A80B-305189D9D37F}"/>
            </a:ext>
          </a:extLst>
        </xdr:cNvPr>
        <xdr:cNvSpPr/>
      </xdr:nvSpPr>
      <xdr:spPr>
        <a:xfrm>
          <a:off x="2241176" y="7231529"/>
          <a:ext cx="1673412" cy="779061"/>
        </a:xfrm>
        <a:prstGeom prst="flowChartDecision">
          <a:avLst/>
        </a:prstGeom>
        <a:noFill/>
        <a:ln w="19050" cmpd="sng">
          <a:solidFill>
            <a:sysClr val="windowText" lastClr="000000"/>
          </a:solidFill>
          <a:prstDash val="soli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ctr"/>
          <a:r>
            <a:rPr kumimoji="1" lang="en-US" altLang="ja-JP" sz="1000">
              <a:solidFill>
                <a:sysClr val="windowText" lastClr="000000"/>
              </a:solidFill>
              <a:latin typeface="游ゴシック" panose="020B0400000000000000" pitchFamily="50" charset="-128"/>
              <a:ea typeface="游ゴシック" panose="020B0400000000000000" pitchFamily="50" charset="-128"/>
            </a:rPr>
            <a:t>HP</a:t>
          </a:r>
          <a:r>
            <a:rPr kumimoji="1" lang="ja-JP" altLang="en-US" sz="1000">
              <a:solidFill>
                <a:sysClr val="windowText" lastClr="000000"/>
              </a:solidFill>
              <a:latin typeface="游ゴシック" panose="020B0400000000000000" pitchFamily="50" charset="-128"/>
              <a:ea typeface="游ゴシック" panose="020B0400000000000000" pitchFamily="50" charset="-128"/>
            </a:rPr>
            <a:t>切れ</a:t>
          </a:r>
        </a:p>
      </xdr:txBody>
    </xdr:sp>
    <xdr:clientData/>
  </xdr:twoCellAnchor>
  <xdr:twoCellAnchor>
    <xdr:from>
      <xdr:col>15</xdr:col>
      <xdr:colOff>164353</xdr:colOff>
      <xdr:row>27</xdr:row>
      <xdr:rowOff>198688</xdr:rowOff>
    </xdr:from>
    <xdr:to>
      <xdr:col>15</xdr:col>
      <xdr:colOff>164837</xdr:colOff>
      <xdr:row>30</xdr:row>
      <xdr:rowOff>52294</xdr:rowOff>
    </xdr:to>
    <xdr:cxnSp macro="">
      <xdr:nvCxnSpPr>
        <xdr:cNvPr id="58" name="直線矢印コネクタ 57">
          <a:extLst>
            <a:ext uri="{FF2B5EF4-FFF2-40B4-BE49-F238E27FC236}">
              <a16:creationId xmlns:a16="http://schemas.microsoft.com/office/drawing/2014/main" id="{0CE6A5DB-D2FA-411E-BBC3-7C0B417C406B}"/>
            </a:ext>
          </a:extLst>
        </xdr:cNvPr>
        <xdr:cNvCxnSpPr>
          <a:stCxn id="29" idx="2"/>
          <a:endCxn id="57" idx="0"/>
        </xdr:cNvCxnSpPr>
      </xdr:nvCxnSpPr>
      <xdr:spPr>
        <a:xfrm flipH="1">
          <a:off x="3077882" y="6683159"/>
          <a:ext cx="484" cy="548370"/>
        </a:xfrm>
        <a:prstGeom prst="straightConnector1">
          <a:avLst/>
        </a:prstGeom>
        <a:ln w="28575"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179295</xdr:colOff>
      <xdr:row>19</xdr:row>
      <xdr:rowOff>209176</xdr:rowOff>
    </xdr:from>
    <xdr:to>
      <xdr:col>35</xdr:col>
      <xdr:colOff>29883</xdr:colOff>
      <xdr:row>21</xdr:row>
      <xdr:rowOff>152176</xdr:rowOff>
    </xdr:to>
    <xdr:sp macro="" textlink="">
      <xdr:nvSpPr>
        <xdr:cNvPr id="62" name="正方形/長方形 61">
          <a:extLst>
            <a:ext uri="{FF2B5EF4-FFF2-40B4-BE49-F238E27FC236}">
              <a16:creationId xmlns:a16="http://schemas.microsoft.com/office/drawing/2014/main" id="{7DDA24AE-C807-44EB-A195-A02215DC4DEF}"/>
            </a:ext>
          </a:extLst>
        </xdr:cNvPr>
        <xdr:cNvSpPr/>
      </xdr:nvSpPr>
      <xdr:spPr>
        <a:xfrm>
          <a:off x="5035177" y="4840941"/>
          <a:ext cx="1792941" cy="406176"/>
        </a:xfrm>
        <a:prstGeom prst="rect">
          <a:avLst/>
        </a:prstGeom>
        <a:solidFill>
          <a:schemeClr val="tx1"/>
        </a:solidFill>
        <a:ln w="19050" cmpd="sng">
          <a:solidFill>
            <a:sysClr val="windowText" lastClr="000000"/>
          </a:solidFill>
          <a:prstDash val="soli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ctr"/>
          <a:r>
            <a:rPr kumimoji="1" lang="en-US" altLang="ja-JP" sz="1050">
              <a:solidFill>
                <a:schemeClr val="bg1"/>
              </a:solidFill>
              <a:latin typeface="游ゴシック" panose="020B0400000000000000" pitchFamily="50" charset="-128"/>
              <a:ea typeface="游ゴシック" panose="020B0400000000000000" pitchFamily="50" charset="-128"/>
            </a:rPr>
            <a:t>DB</a:t>
          </a:r>
          <a:r>
            <a:rPr kumimoji="1" lang="ja-JP" altLang="en-US" sz="1050">
              <a:solidFill>
                <a:schemeClr val="bg1"/>
              </a:solidFill>
              <a:latin typeface="游ゴシック" panose="020B0400000000000000" pitchFamily="50" charset="-128"/>
              <a:ea typeface="游ゴシック" panose="020B0400000000000000" pitchFamily="50" charset="-128"/>
            </a:rPr>
            <a:t>よりセーブ情報取得</a:t>
          </a:r>
          <a:endParaRPr kumimoji="1" lang="en-US" altLang="ja-JP" sz="1050">
            <a:solidFill>
              <a:schemeClr val="bg1"/>
            </a:solidFill>
            <a:latin typeface="游ゴシック" panose="020B0400000000000000" pitchFamily="50" charset="-128"/>
            <a:ea typeface="游ゴシック" panose="020B0400000000000000" pitchFamily="50" charset="-128"/>
          </a:endParaRPr>
        </a:p>
      </xdr:txBody>
    </xdr:sp>
    <xdr:clientData/>
  </xdr:twoCellAnchor>
  <xdr:twoCellAnchor>
    <xdr:from>
      <xdr:col>21</xdr:col>
      <xdr:colOff>63500</xdr:colOff>
      <xdr:row>14</xdr:row>
      <xdr:rowOff>167387</xdr:rowOff>
    </xdr:from>
    <xdr:to>
      <xdr:col>30</xdr:col>
      <xdr:colOff>104589</xdr:colOff>
      <xdr:row>19</xdr:row>
      <xdr:rowOff>209176</xdr:rowOff>
    </xdr:to>
    <xdr:cxnSp macro="">
      <xdr:nvCxnSpPr>
        <xdr:cNvPr id="67" name="コネクタ: カギ線 66">
          <a:extLst>
            <a:ext uri="{FF2B5EF4-FFF2-40B4-BE49-F238E27FC236}">
              <a16:creationId xmlns:a16="http://schemas.microsoft.com/office/drawing/2014/main" id="{9DD99B99-18EF-DBEF-17B9-923EAAC895F8}"/>
            </a:ext>
          </a:extLst>
        </xdr:cNvPr>
        <xdr:cNvCxnSpPr>
          <a:stCxn id="31" idx="3"/>
          <a:endCxn id="62" idx="0"/>
        </xdr:cNvCxnSpPr>
      </xdr:nvCxnSpPr>
      <xdr:spPr>
        <a:xfrm>
          <a:off x="4142441" y="3641211"/>
          <a:ext cx="1789207" cy="1199730"/>
        </a:xfrm>
        <a:prstGeom prst="bentConnector2">
          <a:avLst/>
        </a:prstGeom>
        <a:ln w="28575"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135438</xdr:colOff>
      <xdr:row>21</xdr:row>
      <xdr:rowOff>152177</xdr:rowOff>
    </xdr:from>
    <xdr:to>
      <xdr:col>30</xdr:col>
      <xdr:colOff>104589</xdr:colOff>
      <xdr:row>26</xdr:row>
      <xdr:rowOff>99346</xdr:rowOff>
    </xdr:to>
    <xdr:cxnSp macro="">
      <xdr:nvCxnSpPr>
        <xdr:cNvPr id="71" name="コネクタ: カギ線 70">
          <a:extLst>
            <a:ext uri="{FF2B5EF4-FFF2-40B4-BE49-F238E27FC236}">
              <a16:creationId xmlns:a16="http://schemas.microsoft.com/office/drawing/2014/main" id="{11DF5028-3A14-42CB-89E8-67EFF7E2B9E8}"/>
            </a:ext>
          </a:extLst>
        </xdr:cNvPr>
        <xdr:cNvCxnSpPr>
          <a:stCxn id="62" idx="2"/>
          <a:endCxn id="29" idx="3"/>
        </xdr:cNvCxnSpPr>
      </xdr:nvCxnSpPr>
      <xdr:spPr>
        <a:xfrm rot="5400000">
          <a:off x="4229106" y="4649685"/>
          <a:ext cx="1105110" cy="2299975"/>
        </a:xfrm>
        <a:prstGeom prst="bentConnector2">
          <a:avLst/>
        </a:prstGeom>
        <a:ln w="28575"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8</xdr:row>
      <xdr:rowOff>99345</xdr:rowOff>
    </xdr:from>
    <xdr:to>
      <xdr:col>15</xdr:col>
      <xdr:colOff>164353</xdr:colOff>
      <xdr:row>33</xdr:row>
      <xdr:rowOff>136591</xdr:rowOff>
    </xdr:to>
    <xdr:cxnSp macro="">
      <xdr:nvCxnSpPr>
        <xdr:cNvPr id="85" name="コネクタ: カギ線 84">
          <a:extLst>
            <a:ext uri="{FF2B5EF4-FFF2-40B4-BE49-F238E27FC236}">
              <a16:creationId xmlns:a16="http://schemas.microsoft.com/office/drawing/2014/main" id="{B59D325F-E468-47AE-8BA3-BCACA825CBD8}"/>
            </a:ext>
          </a:extLst>
        </xdr:cNvPr>
        <xdr:cNvCxnSpPr>
          <a:stCxn id="57" idx="2"/>
          <a:endCxn id="9" idx="1"/>
        </xdr:cNvCxnSpPr>
      </xdr:nvCxnSpPr>
      <xdr:spPr>
        <a:xfrm rot="5400000" flipH="1">
          <a:off x="-112005" y="4820703"/>
          <a:ext cx="5826952" cy="552823"/>
        </a:xfrm>
        <a:prstGeom prst="bentConnector4">
          <a:avLst>
            <a:gd name="adj1" fmla="val -3923"/>
            <a:gd name="adj2" fmla="val 330541"/>
          </a:avLst>
        </a:prstGeom>
        <a:ln w="28575"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97118</xdr:colOff>
      <xdr:row>42</xdr:row>
      <xdr:rowOff>171826</xdr:rowOff>
    </xdr:from>
    <xdr:to>
      <xdr:col>27</xdr:col>
      <xdr:colOff>22412</xdr:colOff>
      <xdr:row>46</xdr:row>
      <xdr:rowOff>24534</xdr:rowOff>
    </xdr:to>
    <xdr:sp macro="" textlink="">
      <xdr:nvSpPr>
        <xdr:cNvPr id="93" name="フローチャート: 判断 92">
          <a:extLst>
            <a:ext uri="{FF2B5EF4-FFF2-40B4-BE49-F238E27FC236}">
              <a16:creationId xmlns:a16="http://schemas.microsoft.com/office/drawing/2014/main" id="{38B5B0F9-3B7F-41F3-A16F-6831B0407406}"/>
            </a:ext>
          </a:extLst>
        </xdr:cNvPr>
        <xdr:cNvSpPr/>
      </xdr:nvSpPr>
      <xdr:spPr>
        <a:xfrm>
          <a:off x="3593353" y="10130120"/>
          <a:ext cx="1673412" cy="779061"/>
        </a:xfrm>
        <a:prstGeom prst="flowChartDecision">
          <a:avLst/>
        </a:prstGeom>
        <a:noFill/>
        <a:ln w="19050" cmpd="sng">
          <a:solidFill>
            <a:sysClr val="windowText" lastClr="000000"/>
          </a:solidFill>
          <a:prstDash val="soli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游ゴシック" panose="020B0400000000000000" pitchFamily="50" charset="-128"/>
              <a:ea typeface="游ゴシック" panose="020B0400000000000000" pitchFamily="50" charset="-128"/>
            </a:rPr>
            <a:t>繭を踏んだ</a:t>
          </a:r>
        </a:p>
      </xdr:txBody>
    </xdr:sp>
    <xdr:clientData/>
  </xdr:twoCellAnchor>
  <xdr:twoCellAnchor>
    <xdr:from>
      <xdr:col>20</xdr:col>
      <xdr:colOff>29882</xdr:colOff>
      <xdr:row>31</xdr:row>
      <xdr:rowOff>210236</xdr:rowOff>
    </xdr:from>
    <xdr:to>
      <xdr:col>22</xdr:col>
      <xdr:colOff>156883</xdr:colOff>
      <xdr:row>42</xdr:row>
      <xdr:rowOff>171826</xdr:rowOff>
    </xdr:to>
    <xdr:cxnSp macro="">
      <xdr:nvCxnSpPr>
        <xdr:cNvPr id="94" name="コネクタ: カギ線 93">
          <a:extLst>
            <a:ext uri="{FF2B5EF4-FFF2-40B4-BE49-F238E27FC236}">
              <a16:creationId xmlns:a16="http://schemas.microsoft.com/office/drawing/2014/main" id="{37B5A303-6E67-477A-BDC4-DE035ED9EE51}"/>
            </a:ext>
          </a:extLst>
        </xdr:cNvPr>
        <xdr:cNvCxnSpPr>
          <a:stCxn id="57" idx="3"/>
          <a:endCxn id="93" idx="0"/>
        </xdr:cNvCxnSpPr>
      </xdr:nvCxnSpPr>
      <xdr:spPr>
        <a:xfrm>
          <a:off x="3914588" y="7621060"/>
          <a:ext cx="515471" cy="2509060"/>
        </a:xfrm>
        <a:prstGeom prst="bentConnector2">
          <a:avLst/>
        </a:prstGeom>
        <a:ln w="28575"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36</xdr:col>
      <xdr:colOff>156881</xdr:colOff>
      <xdr:row>43</xdr:row>
      <xdr:rowOff>127000</xdr:rowOff>
    </xdr:from>
    <xdr:to>
      <xdr:col>45</xdr:col>
      <xdr:colOff>119529</xdr:colOff>
      <xdr:row>45</xdr:row>
      <xdr:rowOff>69998</xdr:rowOff>
    </xdr:to>
    <xdr:sp macro="" textlink="">
      <xdr:nvSpPr>
        <xdr:cNvPr id="102" name="正方形/長方形 101">
          <a:extLst>
            <a:ext uri="{FF2B5EF4-FFF2-40B4-BE49-F238E27FC236}">
              <a16:creationId xmlns:a16="http://schemas.microsoft.com/office/drawing/2014/main" id="{518FEFCE-4048-41A0-9ABF-7E7E412E0CAE}"/>
            </a:ext>
          </a:extLst>
        </xdr:cNvPr>
        <xdr:cNvSpPr/>
      </xdr:nvSpPr>
      <xdr:spPr>
        <a:xfrm>
          <a:off x="7149352" y="10316882"/>
          <a:ext cx="1710765" cy="406175"/>
        </a:xfrm>
        <a:prstGeom prst="rect">
          <a:avLst/>
        </a:prstGeom>
        <a:solidFill>
          <a:schemeClr val="tx1"/>
        </a:solidFill>
        <a:ln w="19050" cmpd="sng">
          <a:solidFill>
            <a:sysClr val="windowText" lastClr="000000"/>
          </a:solidFill>
          <a:prstDash val="soli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ctr"/>
          <a:r>
            <a:rPr kumimoji="1" lang="ja-JP" altLang="en-US" sz="1050">
              <a:solidFill>
                <a:schemeClr val="bg1"/>
              </a:solidFill>
              <a:latin typeface="游ゴシック" panose="020B0400000000000000" pitchFamily="50" charset="-128"/>
              <a:ea typeface="游ゴシック" panose="020B0400000000000000" pitchFamily="50" charset="-128"/>
            </a:rPr>
            <a:t>アイテムを追加</a:t>
          </a:r>
        </a:p>
      </xdr:txBody>
    </xdr:sp>
    <xdr:clientData/>
  </xdr:twoCellAnchor>
  <xdr:twoCellAnchor>
    <xdr:from>
      <xdr:col>27</xdr:col>
      <xdr:colOff>22412</xdr:colOff>
      <xdr:row>44</xdr:row>
      <xdr:rowOff>98180</xdr:rowOff>
    </xdr:from>
    <xdr:to>
      <xdr:col>36</xdr:col>
      <xdr:colOff>156881</xdr:colOff>
      <xdr:row>44</xdr:row>
      <xdr:rowOff>98499</xdr:rowOff>
    </xdr:to>
    <xdr:cxnSp macro="">
      <xdr:nvCxnSpPr>
        <xdr:cNvPr id="103" name="直線矢印コネクタ 102">
          <a:extLst>
            <a:ext uri="{FF2B5EF4-FFF2-40B4-BE49-F238E27FC236}">
              <a16:creationId xmlns:a16="http://schemas.microsoft.com/office/drawing/2014/main" id="{620CBA1D-F9DE-4F39-A74A-6954CEB60F6E}"/>
            </a:ext>
          </a:extLst>
        </xdr:cNvPr>
        <xdr:cNvCxnSpPr>
          <a:stCxn id="93" idx="3"/>
          <a:endCxn id="102" idx="1"/>
        </xdr:cNvCxnSpPr>
      </xdr:nvCxnSpPr>
      <xdr:spPr>
        <a:xfrm>
          <a:off x="5266765" y="10519651"/>
          <a:ext cx="1882587" cy="319"/>
        </a:xfrm>
        <a:prstGeom prst="straightConnector1">
          <a:avLst/>
        </a:prstGeom>
        <a:ln w="28575"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135439</xdr:colOff>
      <xdr:row>26</xdr:row>
      <xdr:rowOff>99345</xdr:rowOff>
    </xdr:from>
    <xdr:to>
      <xdr:col>41</xdr:col>
      <xdr:colOff>41089</xdr:colOff>
      <xdr:row>43</xdr:row>
      <xdr:rowOff>127000</xdr:rowOff>
    </xdr:to>
    <xdr:cxnSp macro="">
      <xdr:nvCxnSpPr>
        <xdr:cNvPr id="108" name="コネクタ: カギ線 107">
          <a:extLst>
            <a:ext uri="{FF2B5EF4-FFF2-40B4-BE49-F238E27FC236}">
              <a16:creationId xmlns:a16="http://schemas.microsoft.com/office/drawing/2014/main" id="{D09C9B54-2CA1-443F-A343-2CAB47115CDC}"/>
            </a:ext>
          </a:extLst>
        </xdr:cNvPr>
        <xdr:cNvCxnSpPr>
          <a:stCxn id="102" idx="0"/>
          <a:endCxn id="29" idx="3"/>
        </xdr:cNvCxnSpPr>
      </xdr:nvCxnSpPr>
      <xdr:spPr>
        <a:xfrm rot="16200000" flipV="1">
          <a:off x="3835877" y="6148024"/>
          <a:ext cx="3964655" cy="4373062"/>
        </a:xfrm>
        <a:prstGeom prst="bentConnector2">
          <a:avLst/>
        </a:prstGeom>
        <a:ln w="28575"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153147</xdr:colOff>
      <xdr:row>46</xdr:row>
      <xdr:rowOff>24534</xdr:rowOff>
    </xdr:from>
    <xdr:to>
      <xdr:col>22</xdr:col>
      <xdr:colOff>156883</xdr:colOff>
      <xdr:row>49</xdr:row>
      <xdr:rowOff>224118</xdr:rowOff>
    </xdr:to>
    <xdr:cxnSp macro="">
      <xdr:nvCxnSpPr>
        <xdr:cNvPr id="129" name="直線矢印コネクタ 128">
          <a:extLst>
            <a:ext uri="{FF2B5EF4-FFF2-40B4-BE49-F238E27FC236}">
              <a16:creationId xmlns:a16="http://schemas.microsoft.com/office/drawing/2014/main" id="{4B701261-2CD1-46CA-BE6F-59D1F806C99B}"/>
            </a:ext>
          </a:extLst>
        </xdr:cNvPr>
        <xdr:cNvCxnSpPr>
          <a:stCxn id="93" idx="2"/>
          <a:endCxn id="132" idx="0"/>
        </xdr:cNvCxnSpPr>
      </xdr:nvCxnSpPr>
      <xdr:spPr>
        <a:xfrm flipH="1">
          <a:off x="4426323" y="10909181"/>
          <a:ext cx="3736" cy="894349"/>
        </a:xfrm>
        <a:prstGeom prst="straightConnector1">
          <a:avLst/>
        </a:prstGeom>
        <a:ln w="28575"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104587</xdr:colOff>
      <xdr:row>49</xdr:row>
      <xdr:rowOff>224118</xdr:rowOff>
    </xdr:from>
    <xdr:to>
      <xdr:col>26</xdr:col>
      <xdr:colOff>7469</xdr:colOff>
      <xdr:row>52</xdr:row>
      <xdr:rowOff>37354</xdr:rowOff>
    </xdr:to>
    <xdr:sp macro="" textlink="">
      <xdr:nvSpPr>
        <xdr:cNvPr id="132" name="角丸四角形 3">
          <a:extLst>
            <a:ext uri="{FF2B5EF4-FFF2-40B4-BE49-F238E27FC236}">
              <a16:creationId xmlns:a16="http://schemas.microsoft.com/office/drawing/2014/main" id="{E7C262DA-D52A-4D8D-B349-A2360FEFCCAC}"/>
            </a:ext>
          </a:extLst>
        </xdr:cNvPr>
        <xdr:cNvSpPr/>
      </xdr:nvSpPr>
      <xdr:spPr>
        <a:xfrm>
          <a:off x="3795058" y="11803530"/>
          <a:ext cx="1262529" cy="508000"/>
        </a:xfrm>
        <a:prstGeom prst="roundRect">
          <a:avLst/>
        </a:prstGeom>
        <a:solidFill>
          <a:schemeClr val="bg1">
            <a:lumMod val="95000"/>
          </a:schemeClr>
        </a:solidFill>
        <a:ln w="31750" cmpd="thinThick">
          <a:solidFill>
            <a:sysClr val="windowText" lastClr="000000"/>
          </a:solidFill>
          <a:prstDash val="soli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ctr"/>
          <a:r>
            <a:rPr kumimoji="1" lang="ja-JP" altLang="en-US" sz="1050">
              <a:solidFill>
                <a:sysClr val="windowText" lastClr="000000"/>
              </a:solidFill>
              <a:latin typeface="游ゴシック" panose="020B0400000000000000" pitchFamily="50" charset="-128"/>
              <a:ea typeface="游ゴシック" panose="020B0400000000000000" pitchFamily="50" charset="-128"/>
            </a:rPr>
            <a:t>戦闘画面</a:t>
          </a:r>
        </a:p>
      </xdr:txBody>
    </xdr:sp>
    <xdr:clientData/>
  </xdr:twoCellAnchor>
  <xdr:twoCellAnchor>
    <xdr:from>
      <xdr:col>20</xdr:col>
      <xdr:colOff>29882</xdr:colOff>
      <xdr:row>31</xdr:row>
      <xdr:rowOff>210236</xdr:rowOff>
    </xdr:from>
    <xdr:to>
      <xdr:col>32</xdr:col>
      <xdr:colOff>177678</xdr:colOff>
      <xdr:row>37</xdr:row>
      <xdr:rowOff>209176</xdr:rowOff>
    </xdr:to>
    <xdr:cxnSp macro="">
      <xdr:nvCxnSpPr>
        <xdr:cNvPr id="151" name="コネクタ: カギ線 150">
          <a:extLst>
            <a:ext uri="{FF2B5EF4-FFF2-40B4-BE49-F238E27FC236}">
              <a16:creationId xmlns:a16="http://schemas.microsoft.com/office/drawing/2014/main" id="{8A1AB6FA-E3E3-435B-B1E2-E7F52649B688}"/>
            </a:ext>
          </a:extLst>
        </xdr:cNvPr>
        <xdr:cNvCxnSpPr>
          <a:cxnSpLocks/>
          <a:stCxn id="57" idx="3"/>
          <a:endCxn id="156" idx="0"/>
        </xdr:cNvCxnSpPr>
      </xdr:nvCxnSpPr>
      <xdr:spPr>
        <a:xfrm>
          <a:off x="3914588" y="7621060"/>
          <a:ext cx="2478619" cy="1388469"/>
        </a:xfrm>
        <a:prstGeom prst="bentConnector2">
          <a:avLst/>
        </a:prstGeom>
        <a:ln w="28575"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14942</xdr:colOff>
      <xdr:row>37</xdr:row>
      <xdr:rowOff>209176</xdr:rowOff>
    </xdr:from>
    <xdr:to>
      <xdr:col>35</xdr:col>
      <xdr:colOff>146178</xdr:colOff>
      <xdr:row>39</xdr:row>
      <xdr:rowOff>152176</xdr:rowOff>
    </xdr:to>
    <xdr:sp macro="" textlink="">
      <xdr:nvSpPr>
        <xdr:cNvPr id="156" name="正方形/長方形 155">
          <a:extLst>
            <a:ext uri="{FF2B5EF4-FFF2-40B4-BE49-F238E27FC236}">
              <a16:creationId xmlns:a16="http://schemas.microsoft.com/office/drawing/2014/main" id="{7CAA2A8E-81B6-402F-98A8-E5661EF34D3E}"/>
            </a:ext>
          </a:extLst>
        </xdr:cNvPr>
        <xdr:cNvSpPr/>
      </xdr:nvSpPr>
      <xdr:spPr>
        <a:xfrm>
          <a:off x="5842001" y="9009529"/>
          <a:ext cx="1102412" cy="406176"/>
        </a:xfrm>
        <a:prstGeom prst="rect">
          <a:avLst/>
        </a:prstGeom>
        <a:solidFill>
          <a:schemeClr val="tx1"/>
        </a:solidFill>
        <a:ln w="19050" cmpd="sng">
          <a:solidFill>
            <a:sysClr val="windowText" lastClr="000000"/>
          </a:solidFill>
          <a:prstDash val="soli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ctr"/>
          <a:r>
            <a:rPr kumimoji="1" lang="ja-JP" altLang="en-US" sz="1050">
              <a:solidFill>
                <a:schemeClr val="bg1"/>
              </a:solidFill>
              <a:latin typeface="游ゴシック" panose="020B0400000000000000" pitchFamily="50" charset="-128"/>
              <a:ea typeface="游ゴシック" panose="020B0400000000000000" pitchFamily="50" charset="-128"/>
            </a:rPr>
            <a:t>宝箱を踏んだ</a:t>
          </a:r>
        </a:p>
      </xdr:txBody>
    </xdr:sp>
    <xdr:clientData/>
  </xdr:twoCellAnchor>
  <xdr:twoCellAnchor>
    <xdr:from>
      <xdr:col>32</xdr:col>
      <xdr:colOff>177678</xdr:colOff>
      <xdr:row>39</xdr:row>
      <xdr:rowOff>152175</xdr:rowOff>
    </xdr:from>
    <xdr:to>
      <xdr:col>36</xdr:col>
      <xdr:colOff>156881</xdr:colOff>
      <xdr:row>44</xdr:row>
      <xdr:rowOff>98498</xdr:rowOff>
    </xdr:to>
    <xdr:cxnSp macro="">
      <xdr:nvCxnSpPr>
        <xdr:cNvPr id="159" name="コネクタ: カギ線 158">
          <a:extLst>
            <a:ext uri="{FF2B5EF4-FFF2-40B4-BE49-F238E27FC236}">
              <a16:creationId xmlns:a16="http://schemas.microsoft.com/office/drawing/2014/main" id="{FDEE0E62-BFCA-4678-BA07-2E1EBBBB710B}"/>
            </a:ext>
          </a:extLst>
        </xdr:cNvPr>
        <xdr:cNvCxnSpPr>
          <a:cxnSpLocks/>
          <a:stCxn id="156" idx="2"/>
          <a:endCxn id="102" idx="1"/>
        </xdr:cNvCxnSpPr>
      </xdr:nvCxnSpPr>
      <xdr:spPr>
        <a:xfrm rot="16200000" flipH="1">
          <a:off x="6219147" y="9589764"/>
          <a:ext cx="1104265" cy="756145"/>
        </a:xfrm>
        <a:prstGeom prst="bentConnector2">
          <a:avLst/>
        </a:prstGeom>
        <a:ln w="28575"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89647</xdr:colOff>
      <xdr:row>43</xdr:row>
      <xdr:rowOff>82176</xdr:rowOff>
    </xdr:from>
    <xdr:to>
      <xdr:col>15</xdr:col>
      <xdr:colOff>26648</xdr:colOff>
      <xdr:row>45</xdr:row>
      <xdr:rowOff>25175</xdr:rowOff>
    </xdr:to>
    <xdr:sp macro="" textlink="">
      <xdr:nvSpPr>
        <xdr:cNvPr id="170" name="正方形/長方形 169">
          <a:extLst>
            <a:ext uri="{FF2B5EF4-FFF2-40B4-BE49-F238E27FC236}">
              <a16:creationId xmlns:a16="http://schemas.microsoft.com/office/drawing/2014/main" id="{AC615F8B-89A4-4234-BE86-F1C5A29437DC}"/>
            </a:ext>
          </a:extLst>
        </xdr:cNvPr>
        <xdr:cNvSpPr/>
      </xdr:nvSpPr>
      <xdr:spPr>
        <a:xfrm>
          <a:off x="1837765" y="10272058"/>
          <a:ext cx="1102412" cy="406176"/>
        </a:xfrm>
        <a:prstGeom prst="rect">
          <a:avLst/>
        </a:prstGeom>
        <a:solidFill>
          <a:schemeClr val="tx1"/>
        </a:solidFill>
        <a:ln w="19050" cmpd="sng">
          <a:solidFill>
            <a:sysClr val="windowText" lastClr="000000"/>
          </a:solidFill>
          <a:prstDash val="soli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ctr"/>
          <a:r>
            <a:rPr kumimoji="1" lang="ja-JP" altLang="en-US" sz="1050">
              <a:solidFill>
                <a:schemeClr val="bg1"/>
              </a:solidFill>
              <a:latin typeface="游ゴシック" panose="020B0400000000000000" pitchFamily="50" charset="-128"/>
              <a:ea typeface="游ゴシック" panose="020B0400000000000000" pitchFamily="50" charset="-128"/>
            </a:rPr>
            <a:t>ボスを踏んだ</a:t>
          </a:r>
        </a:p>
      </xdr:txBody>
    </xdr:sp>
    <xdr:clientData/>
  </xdr:twoCellAnchor>
  <xdr:twoCellAnchor>
    <xdr:from>
      <xdr:col>12</xdr:col>
      <xdr:colOff>58147</xdr:colOff>
      <xdr:row>31</xdr:row>
      <xdr:rowOff>210236</xdr:rowOff>
    </xdr:from>
    <xdr:to>
      <xdr:col>20</xdr:col>
      <xdr:colOff>29882</xdr:colOff>
      <xdr:row>43</xdr:row>
      <xdr:rowOff>82176</xdr:rowOff>
    </xdr:to>
    <xdr:cxnSp macro="">
      <xdr:nvCxnSpPr>
        <xdr:cNvPr id="171" name="コネクタ: カギ線 170">
          <a:extLst>
            <a:ext uri="{FF2B5EF4-FFF2-40B4-BE49-F238E27FC236}">
              <a16:creationId xmlns:a16="http://schemas.microsoft.com/office/drawing/2014/main" id="{2B01932A-ED7F-4E25-A754-368B19FC4538}"/>
            </a:ext>
          </a:extLst>
        </xdr:cNvPr>
        <xdr:cNvCxnSpPr>
          <a:stCxn id="57" idx="3"/>
          <a:endCxn id="170" idx="0"/>
        </xdr:cNvCxnSpPr>
      </xdr:nvCxnSpPr>
      <xdr:spPr>
        <a:xfrm flipH="1">
          <a:off x="2388971" y="7621060"/>
          <a:ext cx="1525617" cy="2650998"/>
        </a:xfrm>
        <a:prstGeom prst="bentConnector4">
          <a:avLst>
            <a:gd name="adj1" fmla="val -14984"/>
            <a:gd name="adj2" fmla="val 57347"/>
          </a:avLst>
        </a:prstGeom>
        <a:ln w="28575"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58147</xdr:colOff>
      <xdr:row>45</xdr:row>
      <xdr:rowOff>25175</xdr:rowOff>
    </xdr:from>
    <xdr:to>
      <xdr:col>22</xdr:col>
      <xdr:colOff>153147</xdr:colOff>
      <xdr:row>49</xdr:row>
      <xdr:rowOff>224118</xdr:rowOff>
    </xdr:to>
    <xdr:cxnSp macro="">
      <xdr:nvCxnSpPr>
        <xdr:cNvPr id="175" name="コネクタ: カギ線 174">
          <a:extLst>
            <a:ext uri="{FF2B5EF4-FFF2-40B4-BE49-F238E27FC236}">
              <a16:creationId xmlns:a16="http://schemas.microsoft.com/office/drawing/2014/main" id="{54FC564A-D740-4302-94D9-EF382D2B879A}"/>
            </a:ext>
          </a:extLst>
        </xdr:cNvPr>
        <xdr:cNvCxnSpPr>
          <a:stCxn id="170" idx="2"/>
          <a:endCxn id="132" idx="0"/>
        </xdr:cNvCxnSpPr>
      </xdr:nvCxnSpPr>
      <xdr:spPr>
        <a:xfrm rot="16200000" flipH="1">
          <a:off x="2844999" y="10222206"/>
          <a:ext cx="1125296" cy="2037352"/>
        </a:xfrm>
        <a:prstGeom prst="bentConnector3">
          <a:avLst>
            <a:gd name="adj1" fmla="val 50000"/>
          </a:avLst>
        </a:prstGeom>
        <a:ln w="28575"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126999</xdr:colOff>
      <xdr:row>54</xdr:row>
      <xdr:rowOff>14940</xdr:rowOff>
    </xdr:from>
    <xdr:to>
      <xdr:col>29</xdr:col>
      <xdr:colOff>0</xdr:colOff>
      <xdr:row>59</xdr:row>
      <xdr:rowOff>7471</xdr:rowOff>
    </xdr:to>
    <xdr:sp macro="" textlink="">
      <xdr:nvSpPr>
        <xdr:cNvPr id="180" name="フローチャート: 判断 179">
          <a:extLst>
            <a:ext uri="{FF2B5EF4-FFF2-40B4-BE49-F238E27FC236}">
              <a16:creationId xmlns:a16="http://schemas.microsoft.com/office/drawing/2014/main" id="{8DBA3CFD-310F-4F7C-8FDD-C67CDB00D63F}"/>
            </a:ext>
          </a:extLst>
        </xdr:cNvPr>
        <xdr:cNvSpPr/>
      </xdr:nvSpPr>
      <xdr:spPr>
        <a:xfrm>
          <a:off x="3234764" y="12752293"/>
          <a:ext cx="2398060" cy="1150472"/>
        </a:xfrm>
        <a:prstGeom prst="flowChartDecision">
          <a:avLst/>
        </a:prstGeom>
        <a:noFill/>
        <a:ln w="19050" cmpd="sng">
          <a:solidFill>
            <a:sysClr val="windowText" lastClr="000000"/>
          </a:solidFill>
          <a:prstDash val="soli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游ゴシック" panose="020B0400000000000000" pitchFamily="50" charset="-128"/>
              <a:ea typeface="游ゴシック" panose="020B0400000000000000" pitchFamily="50" charset="-128"/>
            </a:rPr>
            <a:t>       勝利　</a:t>
          </a:r>
          <a:r>
            <a:rPr kumimoji="1" lang="en-US" altLang="ja-JP" sz="1000">
              <a:solidFill>
                <a:sysClr val="windowText" lastClr="000000"/>
              </a:solidFill>
              <a:latin typeface="游ゴシック" panose="020B0400000000000000" pitchFamily="50" charset="-128"/>
              <a:ea typeface="游ゴシック" panose="020B0400000000000000" pitchFamily="50" charset="-128"/>
            </a:rPr>
            <a:t>or</a:t>
          </a:r>
        </a:p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游ゴシック" panose="020B0400000000000000" pitchFamily="50" charset="-128"/>
              <a:ea typeface="游ゴシック" panose="020B0400000000000000" pitchFamily="50" charset="-128"/>
            </a:rPr>
            <a:t>敗北</a:t>
          </a:r>
        </a:p>
      </xdr:txBody>
    </xdr:sp>
    <xdr:clientData/>
  </xdr:twoCellAnchor>
  <xdr:twoCellAnchor>
    <xdr:from>
      <xdr:col>22</xdr:col>
      <xdr:colOff>153147</xdr:colOff>
      <xdr:row>52</xdr:row>
      <xdr:rowOff>37354</xdr:rowOff>
    </xdr:from>
    <xdr:to>
      <xdr:col>22</xdr:col>
      <xdr:colOff>160618</xdr:colOff>
      <xdr:row>54</xdr:row>
      <xdr:rowOff>14940</xdr:rowOff>
    </xdr:to>
    <xdr:cxnSp macro="">
      <xdr:nvCxnSpPr>
        <xdr:cNvPr id="187" name="直線矢印コネクタ 186">
          <a:extLst>
            <a:ext uri="{FF2B5EF4-FFF2-40B4-BE49-F238E27FC236}">
              <a16:creationId xmlns:a16="http://schemas.microsoft.com/office/drawing/2014/main" id="{994EA238-B8AA-40C4-9122-B499FEE46FAE}"/>
            </a:ext>
          </a:extLst>
        </xdr:cNvPr>
        <xdr:cNvCxnSpPr>
          <a:stCxn id="132" idx="2"/>
          <a:endCxn id="180" idx="0"/>
        </xdr:cNvCxnSpPr>
      </xdr:nvCxnSpPr>
      <xdr:spPr>
        <a:xfrm>
          <a:off x="4426323" y="12311530"/>
          <a:ext cx="7471" cy="440763"/>
        </a:xfrm>
        <a:prstGeom prst="straightConnector1">
          <a:avLst/>
        </a:prstGeom>
        <a:ln w="28575"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8</xdr:row>
      <xdr:rowOff>99345</xdr:rowOff>
    </xdr:from>
    <xdr:to>
      <xdr:col>22</xdr:col>
      <xdr:colOff>160618</xdr:colOff>
      <xdr:row>59</xdr:row>
      <xdr:rowOff>7472</xdr:rowOff>
    </xdr:to>
    <xdr:cxnSp macro="">
      <xdr:nvCxnSpPr>
        <xdr:cNvPr id="191" name="コネクタ: カギ線 190">
          <a:extLst>
            <a:ext uri="{FF2B5EF4-FFF2-40B4-BE49-F238E27FC236}">
              <a16:creationId xmlns:a16="http://schemas.microsoft.com/office/drawing/2014/main" id="{838775F2-824F-4FAE-BE2B-B75869792AAD}"/>
            </a:ext>
          </a:extLst>
        </xdr:cNvPr>
        <xdr:cNvCxnSpPr>
          <a:stCxn id="180" idx="2"/>
          <a:endCxn id="9" idx="1"/>
        </xdr:cNvCxnSpPr>
      </xdr:nvCxnSpPr>
      <xdr:spPr>
        <a:xfrm rot="5400000" flipH="1">
          <a:off x="-2380137" y="7088835"/>
          <a:ext cx="11719127" cy="1908735"/>
        </a:xfrm>
        <a:prstGeom prst="bentConnector4">
          <a:avLst>
            <a:gd name="adj1" fmla="val -1951"/>
            <a:gd name="adj2" fmla="val 192212"/>
          </a:avLst>
        </a:prstGeom>
        <a:ln w="28575"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135438</xdr:colOff>
      <xdr:row>26</xdr:row>
      <xdr:rowOff>99345</xdr:rowOff>
    </xdr:from>
    <xdr:to>
      <xdr:col>29</xdr:col>
      <xdr:colOff>0</xdr:colOff>
      <xdr:row>56</xdr:row>
      <xdr:rowOff>127000</xdr:rowOff>
    </xdr:to>
    <xdr:cxnSp macro="">
      <xdr:nvCxnSpPr>
        <xdr:cNvPr id="200" name="コネクタ: カギ線 199">
          <a:extLst>
            <a:ext uri="{FF2B5EF4-FFF2-40B4-BE49-F238E27FC236}">
              <a16:creationId xmlns:a16="http://schemas.microsoft.com/office/drawing/2014/main" id="{681B49F9-5FB4-48DF-A0F0-555909AED210}"/>
            </a:ext>
          </a:extLst>
        </xdr:cNvPr>
        <xdr:cNvCxnSpPr>
          <a:stCxn id="180" idx="3"/>
          <a:endCxn id="29" idx="3"/>
        </xdr:cNvCxnSpPr>
      </xdr:nvCxnSpPr>
      <xdr:spPr>
        <a:xfrm flipH="1" flipV="1">
          <a:off x="3631673" y="6352227"/>
          <a:ext cx="2001151" cy="6975302"/>
        </a:xfrm>
        <a:prstGeom prst="bentConnector3">
          <a:avLst>
            <a:gd name="adj1" fmla="val -207413"/>
          </a:avLst>
        </a:prstGeom>
        <a:ln w="28575"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48"/>
  <sheetViews>
    <sheetView showGridLines="0" tabSelected="1" defaultGridColor="0" colorId="8" zoomScale="70" zoomScaleNormal="70" workbookViewId="0"/>
  </sheetViews>
  <sheetFormatPr defaultColWidth="2.3984375" defaultRowHeight="9.6"/>
  <cols>
    <col min="1" max="16384" width="2.3984375" style="13"/>
  </cols>
  <sheetData>
    <row r="1" spans="1:52" ht="10.5" customHeight="1">
      <c r="A1" s="10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2"/>
    </row>
    <row r="2" spans="1:52" ht="10.5" customHeight="1">
      <c r="A2" s="14"/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1"/>
      <c r="AV2" s="21"/>
      <c r="AW2" s="21"/>
      <c r="AX2" s="21"/>
      <c r="AY2" s="21"/>
      <c r="AZ2" s="15"/>
    </row>
    <row r="3" spans="1:52" ht="10.5" customHeight="1">
      <c r="A3" s="14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1"/>
      <c r="AW3" s="21"/>
      <c r="AX3" s="21"/>
      <c r="AY3" s="21"/>
      <c r="AZ3" s="15"/>
    </row>
    <row r="4" spans="1:52" ht="10.5" customHeight="1">
      <c r="A4" s="14"/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21"/>
      <c r="AV4" s="21"/>
      <c r="AW4" s="21"/>
      <c r="AX4" s="21"/>
      <c r="AY4" s="21"/>
      <c r="AZ4" s="15"/>
    </row>
    <row r="5" spans="1:52" ht="10.5" customHeight="1">
      <c r="A5" s="14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15"/>
    </row>
    <row r="6" spans="1:52" ht="10.5" customHeight="1">
      <c r="A6" s="14"/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M6" s="21"/>
      <c r="AN6" s="21"/>
      <c r="AO6" s="21"/>
      <c r="AP6" s="21"/>
      <c r="AQ6" s="21"/>
      <c r="AR6" s="21"/>
      <c r="AS6" s="21"/>
      <c r="AT6" s="21"/>
      <c r="AU6" s="21"/>
      <c r="AV6" s="21"/>
      <c r="AW6" s="21"/>
      <c r="AX6" s="21"/>
      <c r="AY6" s="21"/>
      <c r="AZ6" s="15"/>
    </row>
    <row r="7" spans="1:52" ht="10.5" customHeight="1">
      <c r="A7" s="14"/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21"/>
      <c r="AS7" s="21"/>
      <c r="AT7" s="21"/>
      <c r="AU7" s="21"/>
      <c r="AV7" s="21"/>
      <c r="AW7" s="21"/>
      <c r="AX7" s="21"/>
      <c r="AY7" s="21"/>
      <c r="AZ7" s="15"/>
    </row>
    <row r="8" spans="1:52" ht="10.5" customHeight="1">
      <c r="A8" s="14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  <c r="AO8" s="21"/>
      <c r="AP8" s="21"/>
      <c r="AQ8" s="21"/>
      <c r="AR8" s="21"/>
      <c r="AS8" s="21"/>
      <c r="AT8" s="21"/>
      <c r="AU8" s="21"/>
      <c r="AV8" s="21"/>
      <c r="AW8" s="21"/>
      <c r="AX8" s="21"/>
      <c r="AY8" s="21"/>
      <c r="AZ8" s="15"/>
    </row>
    <row r="9" spans="1:52" ht="10.5" customHeight="1">
      <c r="A9" s="16"/>
      <c r="B9" s="22"/>
      <c r="C9" s="22"/>
      <c r="D9" s="22"/>
      <c r="E9" s="22"/>
      <c r="F9" s="22"/>
      <c r="G9" s="22"/>
      <c r="H9" s="22"/>
      <c r="I9" s="48" t="s">
        <v>17</v>
      </c>
      <c r="J9" s="49"/>
      <c r="K9" s="49"/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  <c r="AA9" s="49"/>
      <c r="AB9" s="49"/>
      <c r="AC9" s="49"/>
      <c r="AD9" s="49"/>
      <c r="AE9" s="49"/>
      <c r="AF9" s="49"/>
      <c r="AG9" s="49"/>
      <c r="AH9" s="49"/>
      <c r="AI9" s="49"/>
      <c r="AJ9" s="49"/>
      <c r="AK9" s="49"/>
      <c r="AL9" s="49"/>
      <c r="AM9" s="49"/>
      <c r="AN9" s="49"/>
      <c r="AO9" s="49"/>
      <c r="AP9" s="49"/>
      <c r="AQ9" s="49"/>
      <c r="AR9" s="50"/>
      <c r="AS9" s="22"/>
      <c r="AT9" s="22"/>
      <c r="AU9" s="22"/>
      <c r="AV9" s="22"/>
      <c r="AW9" s="22"/>
      <c r="AX9" s="22"/>
      <c r="AY9" s="22"/>
      <c r="AZ9" s="17"/>
    </row>
    <row r="10" spans="1:52" ht="10.5" customHeight="1">
      <c r="A10" s="16"/>
      <c r="B10" s="22"/>
      <c r="C10" s="22"/>
      <c r="D10" s="22"/>
      <c r="E10" s="22"/>
      <c r="F10" s="22"/>
      <c r="G10" s="22"/>
      <c r="H10" s="22"/>
      <c r="I10" s="51"/>
      <c r="J10" s="52"/>
      <c r="K10" s="52"/>
      <c r="L10" s="52"/>
      <c r="M10" s="52"/>
      <c r="N10" s="52"/>
      <c r="O10" s="52"/>
      <c r="P10" s="52"/>
      <c r="Q10" s="52"/>
      <c r="R10" s="52"/>
      <c r="S10" s="52"/>
      <c r="T10" s="52"/>
      <c r="U10" s="52"/>
      <c r="V10" s="52"/>
      <c r="W10" s="52"/>
      <c r="X10" s="52"/>
      <c r="Y10" s="52"/>
      <c r="Z10" s="52"/>
      <c r="AA10" s="52"/>
      <c r="AB10" s="52"/>
      <c r="AC10" s="52"/>
      <c r="AD10" s="52"/>
      <c r="AE10" s="52"/>
      <c r="AF10" s="52"/>
      <c r="AG10" s="52"/>
      <c r="AH10" s="52"/>
      <c r="AI10" s="52"/>
      <c r="AJ10" s="52"/>
      <c r="AK10" s="52"/>
      <c r="AL10" s="52"/>
      <c r="AM10" s="52"/>
      <c r="AN10" s="52"/>
      <c r="AO10" s="52"/>
      <c r="AP10" s="52"/>
      <c r="AQ10" s="52"/>
      <c r="AR10" s="53"/>
      <c r="AS10" s="22"/>
      <c r="AT10" s="22"/>
      <c r="AU10" s="22"/>
      <c r="AV10" s="22"/>
      <c r="AW10" s="22"/>
      <c r="AX10" s="22"/>
      <c r="AY10" s="22"/>
      <c r="AZ10" s="17"/>
    </row>
    <row r="11" spans="1:52" ht="10.5" customHeight="1">
      <c r="A11" s="16"/>
      <c r="B11" s="22"/>
      <c r="C11" s="22"/>
      <c r="D11" s="22"/>
      <c r="E11" s="22"/>
      <c r="F11" s="22"/>
      <c r="G11" s="22"/>
      <c r="H11" s="22"/>
      <c r="I11" s="51"/>
      <c r="J11" s="52"/>
      <c r="K11" s="52"/>
      <c r="L11" s="52"/>
      <c r="M11" s="52"/>
      <c r="N11" s="52"/>
      <c r="O11" s="52"/>
      <c r="P11" s="52"/>
      <c r="Q11" s="52"/>
      <c r="R11" s="52"/>
      <c r="S11" s="52"/>
      <c r="T11" s="52"/>
      <c r="U11" s="52"/>
      <c r="V11" s="52"/>
      <c r="W11" s="52"/>
      <c r="X11" s="52"/>
      <c r="Y11" s="52"/>
      <c r="Z11" s="52"/>
      <c r="AA11" s="52"/>
      <c r="AB11" s="52"/>
      <c r="AC11" s="52"/>
      <c r="AD11" s="52"/>
      <c r="AE11" s="52"/>
      <c r="AF11" s="52"/>
      <c r="AG11" s="52"/>
      <c r="AH11" s="52"/>
      <c r="AI11" s="52"/>
      <c r="AJ11" s="52"/>
      <c r="AK11" s="52"/>
      <c r="AL11" s="52"/>
      <c r="AM11" s="52"/>
      <c r="AN11" s="52"/>
      <c r="AO11" s="52"/>
      <c r="AP11" s="52"/>
      <c r="AQ11" s="52"/>
      <c r="AR11" s="53"/>
      <c r="AS11" s="22"/>
      <c r="AT11" s="22"/>
      <c r="AU11" s="22"/>
      <c r="AV11" s="22"/>
      <c r="AW11" s="22"/>
      <c r="AX11" s="22"/>
      <c r="AY11" s="22"/>
      <c r="AZ11" s="17"/>
    </row>
    <row r="12" spans="1:52" ht="10.5" customHeight="1">
      <c r="A12" s="16"/>
      <c r="B12" s="22"/>
      <c r="C12" s="22"/>
      <c r="D12" s="22"/>
      <c r="E12" s="22"/>
      <c r="F12" s="22"/>
      <c r="G12" s="22"/>
      <c r="H12" s="22"/>
      <c r="I12" s="51"/>
      <c r="J12" s="52"/>
      <c r="K12" s="52"/>
      <c r="L12" s="52"/>
      <c r="M12" s="52"/>
      <c r="N12" s="52"/>
      <c r="O12" s="52"/>
      <c r="P12" s="52"/>
      <c r="Q12" s="52"/>
      <c r="R12" s="52"/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3"/>
      <c r="AS12" s="22"/>
      <c r="AT12" s="22"/>
      <c r="AU12" s="22"/>
      <c r="AV12" s="22"/>
      <c r="AW12" s="22"/>
      <c r="AX12" s="22"/>
      <c r="AY12" s="22"/>
      <c r="AZ12" s="17"/>
    </row>
    <row r="13" spans="1:52" ht="10.5" customHeight="1">
      <c r="A13" s="16"/>
      <c r="B13" s="22"/>
      <c r="C13" s="22"/>
      <c r="D13" s="22"/>
      <c r="E13" s="22"/>
      <c r="F13" s="22"/>
      <c r="G13" s="22"/>
      <c r="H13" s="22"/>
      <c r="I13" s="51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52"/>
      <c r="U13" s="52"/>
      <c r="V13" s="52"/>
      <c r="W13" s="52"/>
      <c r="X13" s="52"/>
      <c r="Y13" s="52"/>
      <c r="Z13" s="52"/>
      <c r="AA13" s="52"/>
      <c r="AB13" s="52"/>
      <c r="AC13" s="52"/>
      <c r="AD13" s="52"/>
      <c r="AE13" s="52"/>
      <c r="AF13" s="52"/>
      <c r="AG13" s="52"/>
      <c r="AH13" s="52"/>
      <c r="AI13" s="52"/>
      <c r="AJ13" s="52"/>
      <c r="AK13" s="52"/>
      <c r="AL13" s="52"/>
      <c r="AM13" s="52"/>
      <c r="AN13" s="52"/>
      <c r="AO13" s="52"/>
      <c r="AP13" s="52"/>
      <c r="AQ13" s="52"/>
      <c r="AR13" s="53"/>
      <c r="AS13" s="22"/>
      <c r="AT13" s="22"/>
      <c r="AU13" s="22"/>
      <c r="AV13" s="22"/>
      <c r="AW13" s="22"/>
      <c r="AX13" s="22"/>
      <c r="AY13" s="22"/>
      <c r="AZ13" s="17"/>
    </row>
    <row r="14" spans="1:52" ht="10.5" customHeight="1">
      <c r="A14" s="16"/>
      <c r="B14" s="22"/>
      <c r="C14" s="22"/>
      <c r="D14" s="22"/>
      <c r="E14" s="22"/>
      <c r="F14" s="22"/>
      <c r="G14" s="22"/>
      <c r="H14" s="22"/>
      <c r="I14" s="51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3"/>
      <c r="AS14" s="22"/>
      <c r="AT14" s="22"/>
      <c r="AU14" s="22"/>
      <c r="AV14" s="22"/>
      <c r="AW14" s="22"/>
      <c r="AX14" s="22"/>
      <c r="AY14" s="22"/>
      <c r="AZ14" s="17"/>
    </row>
    <row r="15" spans="1:52" ht="10.5" customHeight="1">
      <c r="A15" s="16"/>
      <c r="B15" s="22"/>
      <c r="C15" s="22"/>
      <c r="D15" s="22"/>
      <c r="E15" s="22"/>
      <c r="F15" s="22"/>
      <c r="G15" s="22"/>
      <c r="H15" s="22"/>
      <c r="I15" s="51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2"/>
      <c r="AM15" s="52"/>
      <c r="AN15" s="52"/>
      <c r="AO15" s="52"/>
      <c r="AP15" s="52"/>
      <c r="AQ15" s="52"/>
      <c r="AR15" s="53"/>
      <c r="AS15" s="22"/>
      <c r="AT15" s="22"/>
      <c r="AU15" s="22"/>
      <c r="AV15" s="22"/>
      <c r="AW15" s="22"/>
      <c r="AX15" s="22"/>
      <c r="AY15" s="22"/>
      <c r="AZ15" s="17"/>
    </row>
    <row r="16" spans="1:52" ht="10.5" customHeight="1">
      <c r="A16" s="16"/>
      <c r="B16" s="22"/>
      <c r="C16" s="22"/>
      <c r="D16" s="22"/>
      <c r="E16" s="22"/>
      <c r="F16" s="22"/>
      <c r="G16" s="22"/>
      <c r="H16" s="22"/>
      <c r="I16" s="51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3"/>
      <c r="AS16" s="22"/>
      <c r="AT16" s="22"/>
      <c r="AU16" s="22"/>
      <c r="AV16" s="22"/>
      <c r="AW16" s="22"/>
      <c r="AX16" s="22"/>
      <c r="AY16" s="22"/>
      <c r="AZ16" s="17"/>
    </row>
    <row r="17" spans="1:52" ht="10.5" customHeight="1">
      <c r="A17" s="16"/>
      <c r="B17" s="22"/>
      <c r="C17" s="22"/>
      <c r="D17" s="22"/>
      <c r="E17" s="22"/>
      <c r="F17" s="22"/>
      <c r="G17" s="22"/>
      <c r="H17" s="22"/>
      <c r="I17" s="51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2"/>
      <c r="AH17" s="52"/>
      <c r="AI17" s="52"/>
      <c r="AJ17" s="52"/>
      <c r="AK17" s="52"/>
      <c r="AL17" s="52"/>
      <c r="AM17" s="52"/>
      <c r="AN17" s="52"/>
      <c r="AO17" s="52"/>
      <c r="AP17" s="52"/>
      <c r="AQ17" s="52"/>
      <c r="AR17" s="53"/>
      <c r="AS17" s="22"/>
      <c r="AT17" s="22"/>
      <c r="AU17" s="22"/>
      <c r="AV17" s="22"/>
      <c r="AW17" s="22"/>
      <c r="AX17" s="22"/>
      <c r="AY17" s="22"/>
      <c r="AZ17" s="17"/>
    </row>
    <row r="18" spans="1:52" ht="10.5" customHeight="1">
      <c r="A18" s="16"/>
      <c r="B18" s="22"/>
      <c r="C18" s="22"/>
      <c r="D18" s="22"/>
      <c r="E18" s="22"/>
      <c r="F18" s="22"/>
      <c r="G18" s="22"/>
      <c r="H18" s="22"/>
      <c r="I18" s="51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3"/>
      <c r="AS18" s="22"/>
      <c r="AT18" s="22"/>
      <c r="AU18" s="22"/>
      <c r="AV18" s="22"/>
      <c r="AW18" s="22"/>
      <c r="AX18" s="22"/>
      <c r="AY18" s="22"/>
      <c r="AZ18" s="17"/>
    </row>
    <row r="19" spans="1:52" ht="10.5" customHeight="1">
      <c r="A19" s="16"/>
      <c r="B19" s="22"/>
      <c r="C19" s="22"/>
      <c r="D19" s="22"/>
      <c r="E19" s="22"/>
      <c r="F19" s="22"/>
      <c r="G19" s="22"/>
      <c r="H19" s="22"/>
      <c r="I19" s="51"/>
      <c r="J19" s="52"/>
      <c r="K19" s="52"/>
      <c r="L19" s="52"/>
      <c r="M19" s="52"/>
      <c r="N19" s="52"/>
      <c r="O19" s="52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  <c r="AJ19" s="52"/>
      <c r="AK19" s="52"/>
      <c r="AL19" s="52"/>
      <c r="AM19" s="52"/>
      <c r="AN19" s="52"/>
      <c r="AO19" s="52"/>
      <c r="AP19" s="52"/>
      <c r="AQ19" s="52"/>
      <c r="AR19" s="53"/>
      <c r="AS19" s="22"/>
      <c r="AT19" s="22"/>
      <c r="AU19" s="22"/>
      <c r="AV19" s="22"/>
      <c r="AW19" s="22"/>
      <c r="AX19" s="22"/>
      <c r="AY19" s="22"/>
      <c r="AZ19" s="17"/>
    </row>
    <row r="20" spans="1:52" ht="10.5" customHeight="1">
      <c r="A20" s="16"/>
      <c r="B20" s="22"/>
      <c r="C20" s="22"/>
      <c r="D20" s="22"/>
      <c r="E20" s="22"/>
      <c r="F20" s="22"/>
      <c r="G20" s="22"/>
      <c r="H20" s="22"/>
      <c r="I20" s="51"/>
      <c r="J20" s="52"/>
      <c r="K20" s="52"/>
      <c r="L20" s="52"/>
      <c r="M20" s="52"/>
      <c r="N20" s="52"/>
      <c r="O20" s="52"/>
      <c r="P20" s="52"/>
      <c r="Q20" s="52"/>
      <c r="R20" s="52"/>
      <c r="S20" s="52"/>
      <c r="T20" s="52"/>
      <c r="U20" s="52"/>
      <c r="V20" s="52"/>
      <c r="W20" s="52"/>
      <c r="X20" s="52"/>
      <c r="Y20" s="52"/>
      <c r="Z20" s="52"/>
      <c r="AA20" s="52"/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/>
      <c r="AN20" s="52"/>
      <c r="AO20" s="52"/>
      <c r="AP20" s="52"/>
      <c r="AQ20" s="52"/>
      <c r="AR20" s="53"/>
      <c r="AS20" s="22"/>
      <c r="AT20" s="22"/>
      <c r="AU20" s="22"/>
      <c r="AV20" s="22"/>
      <c r="AW20" s="22"/>
      <c r="AX20" s="22"/>
      <c r="AY20" s="22"/>
      <c r="AZ20" s="17"/>
    </row>
    <row r="21" spans="1:52" ht="10.5" customHeight="1">
      <c r="A21" s="14"/>
      <c r="B21" s="21"/>
      <c r="C21" s="21"/>
      <c r="D21" s="21"/>
      <c r="E21" s="21"/>
      <c r="F21" s="21"/>
      <c r="G21" s="21"/>
      <c r="H21" s="21"/>
      <c r="I21" s="51"/>
      <c r="J21" s="52"/>
      <c r="K21" s="52"/>
      <c r="L21" s="52"/>
      <c r="M21" s="52"/>
      <c r="N21" s="52"/>
      <c r="O21" s="52"/>
      <c r="P21" s="52"/>
      <c r="Q21" s="52"/>
      <c r="R21" s="52"/>
      <c r="S21" s="52"/>
      <c r="T21" s="52"/>
      <c r="U21" s="52"/>
      <c r="V21" s="52"/>
      <c r="W21" s="52"/>
      <c r="X21" s="52"/>
      <c r="Y21" s="52"/>
      <c r="Z21" s="52"/>
      <c r="AA21" s="52"/>
      <c r="AB21" s="52"/>
      <c r="AC21" s="52"/>
      <c r="AD21" s="52"/>
      <c r="AE21" s="52"/>
      <c r="AF21" s="52"/>
      <c r="AG21" s="52"/>
      <c r="AH21" s="52"/>
      <c r="AI21" s="52"/>
      <c r="AJ21" s="52"/>
      <c r="AK21" s="52"/>
      <c r="AL21" s="52"/>
      <c r="AM21" s="52"/>
      <c r="AN21" s="52"/>
      <c r="AO21" s="52"/>
      <c r="AP21" s="52"/>
      <c r="AQ21" s="52"/>
      <c r="AR21" s="53"/>
      <c r="AS21" s="21"/>
      <c r="AT21" s="21"/>
      <c r="AU21" s="21"/>
      <c r="AV21" s="21"/>
      <c r="AW21" s="21"/>
      <c r="AX21" s="21"/>
      <c r="AY21" s="21"/>
      <c r="AZ21" s="15"/>
    </row>
    <row r="22" spans="1:52" ht="10.5" customHeight="1">
      <c r="A22" s="14"/>
      <c r="B22" s="21"/>
      <c r="C22" s="21"/>
      <c r="D22" s="21"/>
      <c r="E22" s="21"/>
      <c r="F22" s="21"/>
      <c r="G22" s="21"/>
      <c r="H22" s="21"/>
      <c r="I22" s="54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E22" s="55"/>
      <c r="AF22" s="55"/>
      <c r="AG22" s="55"/>
      <c r="AH22" s="55"/>
      <c r="AI22" s="55"/>
      <c r="AJ22" s="55"/>
      <c r="AK22" s="55"/>
      <c r="AL22" s="55"/>
      <c r="AM22" s="55"/>
      <c r="AN22" s="55"/>
      <c r="AO22" s="55"/>
      <c r="AP22" s="55"/>
      <c r="AQ22" s="55"/>
      <c r="AR22" s="56"/>
      <c r="AS22" s="21"/>
      <c r="AT22" s="21"/>
      <c r="AU22" s="21"/>
      <c r="AV22" s="21"/>
      <c r="AW22" s="21"/>
      <c r="AX22" s="21"/>
      <c r="AY22" s="21"/>
      <c r="AZ22" s="15"/>
    </row>
    <row r="23" spans="1:52" ht="10.5" customHeight="1">
      <c r="A23" s="14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1"/>
      <c r="AW23" s="21"/>
      <c r="AX23" s="21"/>
      <c r="AY23" s="21"/>
      <c r="AZ23" s="15"/>
    </row>
    <row r="24" spans="1:52" ht="10.5" customHeight="1">
      <c r="A24" s="14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/>
      <c r="AT24" s="21"/>
      <c r="AU24" s="21"/>
      <c r="AV24" s="21"/>
      <c r="AW24" s="21"/>
      <c r="AX24" s="21"/>
      <c r="AY24" s="21"/>
      <c r="AZ24" s="15"/>
    </row>
    <row r="25" spans="1:52" ht="10.5" customHeight="1">
      <c r="A25" s="14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/>
      <c r="AT25" s="21"/>
      <c r="AU25" s="21"/>
      <c r="AV25" s="21"/>
      <c r="AW25" s="21"/>
      <c r="AX25" s="21"/>
      <c r="AY25" s="21"/>
      <c r="AZ25" s="15"/>
    </row>
    <row r="26" spans="1:52" ht="10.5" customHeight="1">
      <c r="A26" s="14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/>
      <c r="AT26" s="21"/>
      <c r="AU26" s="21"/>
      <c r="AV26" s="21"/>
      <c r="AW26" s="21"/>
      <c r="AX26" s="21"/>
      <c r="AY26" s="21"/>
      <c r="AZ26" s="15"/>
    </row>
    <row r="27" spans="1:52" ht="10.5" customHeight="1">
      <c r="A27" s="14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21"/>
      <c r="AV27" s="21"/>
      <c r="AW27" s="21"/>
      <c r="AX27" s="21"/>
      <c r="AY27" s="21"/>
      <c r="AZ27" s="15"/>
    </row>
    <row r="28" spans="1:52" ht="10.5" customHeight="1">
      <c r="A28" s="14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1"/>
      <c r="AT28" s="21"/>
      <c r="AU28" s="21"/>
      <c r="AV28" s="21"/>
      <c r="AW28" s="21"/>
      <c r="AX28" s="21"/>
      <c r="AY28" s="21"/>
      <c r="AZ28" s="15"/>
    </row>
    <row r="29" spans="1:52">
      <c r="A29" s="14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1"/>
      <c r="AT29" s="21"/>
      <c r="AU29" s="21"/>
      <c r="AV29" s="21"/>
      <c r="AW29" s="21"/>
      <c r="AX29" s="21"/>
      <c r="AY29" s="21"/>
      <c r="AZ29" s="15"/>
    </row>
    <row r="30" spans="1:52">
      <c r="A30" s="14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1"/>
      <c r="AK30" s="21"/>
      <c r="AL30" s="21"/>
      <c r="AM30" s="21"/>
      <c r="AN30" s="21"/>
      <c r="AO30" s="21"/>
      <c r="AP30" s="21"/>
      <c r="AQ30" s="21"/>
      <c r="AR30" s="21"/>
      <c r="AS30" s="21"/>
      <c r="AT30" s="21"/>
      <c r="AU30" s="21"/>
      <c r="AV30" s="21"/>
      <c r="AW30" s="21"/>
      <c r="AX30" s="21"/>
      <c r="AY30" s="21"/>
      <c r="AZ30" s="15"/>
    </row>
    <row r="31" spans="1:52">
      <c r="A31" s="14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1"/>
      <c r="AM31" s="21"/>
      <c r="AN31" s="21"/>
      <c r="AO31" s="21"/>
      <c r="AP31" s="21"/>
      <c r="AQ31" s="21"/>
      <c r="AR31" s="21"/>
      <c r="AS31" s="21"/>
      <c r="AT31" s="21"/>
      <c r="AU31" s="21"/>
      <c r="AV31" s="21"/>
      <c r="AW31" s="21"/>
      <c r="AX31" s="21"/>
      <c r="AY31" s="21"/>
      <c r="AZ31" s="15"/>
    </row>
    <row r="32" spans="1:52">
      <c r="A32" s="14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21"/>
      <c r="AR32" s="21"/>
      <c r="AS32" s="21"/>
      <c r="AT32" s="21"/>
      <c r="AU32" s="21"/>
      <c r="AV32" s="21"/>
      <c r="AW32" s="21"/>
      <c r="AX32" s="21"/>
      <c r="AY32" s="21"/>
      <c r="AZ32" s="15"/>
    </row>
    <row r="33" spans="1:52">
      <c r="A33" s="14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/>
      <c r="AL33" s="21"/>
      <c r="AM33" s="21"/>
      <c r="AN33" s="21"/>
      <c r="AO33" s="21"/>
      <c r="AP33" s="21"/>
      <c r="AQ33" s="21"/>
      <c r="AR33" s="21"/>
      <c r="AS33" s="21"/>
      <c r="AT33" s="21"/>
      <c r="AU33" s="21"/>
      <c r="AV33" s="21"/>
      <c r="AW33" s="21"/>
      <c r="AX33" s="21"/>
      <c r="AY33" s="21"/>
      <c r="AZ33" s="15"/>
    </row>
    <row r="34" spans="1:52">
      <c r="A34" s="14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D34" s="21"/>
      <c r="AE34" s="21"/>
      <c r="AF34" s="21"/>
      <c r="AG34" s="21"/>
      <c r="AH34" s="21"/>
      <c r="AI34" s="21"/>
      <c r="AJ34" s="21"/>
      <c r="AK34" s="21"/>
      <c r="AL34" s="21"/>
      <c r="AM34" s="21"/>
      <c r="AN34" s="21"/>
      <c r="AO34" s="21"/>
      <c r="AP34" s="21"/>
      <c r="AQ34" s="21"/>
      <c r="AR34" s="21"/>
      <c r="AS34" s="21"/>
      <c r="AT34" s="21"/>
      <c r="AU34" s="21"/>
      <c r="AV34" s="21"/>
      <c r="AW34" s="21"/>
      <c r="AX34" s="21"/>
      <c r="AY34" s="21"/>
      <c r="AZ34" s="15"/>
    </row>
    <row r="35" spans="1:52">
      <c r="A35" s="14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D35" s="21"/>
      <c r="AE35" s="21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21"/>
      <c r="AR35" s="21"/>
      <c r="AS35" s="21"/>
      <c r="AT35" s="21"/>
      <c r="AU35" s="21"/>
      <c r="AV35" s="21"/>
      <c r="AW35" s="21"/>
      <c r="AX35" s="21"/>
      <c r="AY35" s="21"/>
      <c r="AZ35" s="15"/>
    </row>
    <row r="36" spans="1:52">
      <c r="A36" s="14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D36" s="21"/>
      <c r="AE36" s="21"/>
      <c r="AF36" s="21"/>
      <c r="AG36" s="21"/>
      <c r="AH36" s="21"/>
      <c r="AI36" s="21"/>
      <c r="AJ36" s="21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21"/>
      <c r="AV36" s="21"/>
      <c r="AW36" s="21"/>
      <c r="AX36" s="21"/>
      <c r="AY36" s="21"/>
      <c r="AZ36" s="15"/>
    </row>
    <row r="37" spans="1:52">
      <c r="A37" s="14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D37" s="21"/>
      <c r="AE37" s="21"/>
      <c r="AF37" s="57" t="s">
        <v>29</v>
      </c>
      <c r="AG37" s="57"/>
      <c r="AH37" s="57"/>
      <c r="AI37" s="57"/>
      <c r="AJ37" s="57"/>
      <c r="AK37" s="57"/>
      <c r="AL37" s="58" t="s">
        <v>28</v>
      </c>
      <c r="AM37" s="58"/>
      <c r="AN37" s="58"/>
      <c r="AO37" s="58"/>
      <c r="AP37" s="58"/>
      <c r="AQ37" s="58"/>
      <c r="AR37" s="58"/>
      <c r="AS37" s="58"/>
      <c r="AT37" s="58"/>
      <c r="AU37" s="58"/>
      <c r="AV37" s="58"/>
      <c r="AW37" s="58"/>
      <c r="AX37" s="58"/>
      <c r="AY37" s="58"/>
      <c r="AZ37" s="15"/>
    </row>
    <row r="38" spans="1:52">
      <c r="A38" s="14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D38" s="21"/>
      <c r="AE38" s="21"/>
      <c r="AF38" s="57"/>
      <c r="AG38" s="57"/>
      <c r="AH38" s="57"/>
      <c r="AI38" s="57"/>
      <c r="AJ38" s="57"/>
      <c r="AK38" s="57"/>
      <c r="AL38" s="58"/>
      <c r="AM38" s="58"/>
      <c r="AN38" s="58"/>
      <c r="AO38" s="58"/>
      <c r="AP38" s="58"/>
      <c r="AQ38" s="58"/>
      <c r="AR38" s="58"/>
      <c r="AS38" s="58"/>
      <c r="AT38" s="58"/>
      <c r="AU38" s="58"/>
      <c r="AV38" s="58"/>
      <c r="AW38" s="58"/>
      <c r="AX38" s="58"/>
      <c r="AY38" s="58"/>
      <c r="AZ38" s="15"/>
    </row>
    <row r="39" spans="1:52" ht="9.4499999999999993" customHeight="1">
      <c r="A39" s="14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57" t="s">
        <v>30</v>
      </c>
      <c r="AG39" s="57"/>
      <c r="AH39" s="57"/>
      <c r="AI39" s="57"/>
      <c r="AJ39" s="57"/>
      <c r="AK39" s="57"/>
      <c r="AL39" s="58" t="s">
        <v>31</v>
      </c>
      <c r="AM39" s="58"/>
      <c r="AN39" s="58"/>
      <c r="AO39" s="58"/>
      <c r="AP39" s="58"/>
      <c r="AQ39" s="58"/>
      <c r="AR39" s="58"/>
      <c r="AS39" s="58"/>
      <c r="AT39" s="58"/>
      <c r="AU39" s="58"/>
      <c r="AV39" s="58"/>
      <c r="AW39" s="58"/>
      <c r="AX39" s="58"/>
      <c r="AY39" s="58"/>
      <c r="AZ39" s="15"/>
    </row>
    <row r="40" spans="1:52" ht="9.4499999999999993" customHeight="1">
      <c r="A40" s="14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57"/>
      <c r="AG40" s="57"/>
      <c r="AH40" s="57"/>
      <c r="AI40" s="57"/>
      <c r="AJ40" s="57"/>
      <c r="AK40" s="57"/>
      <c r="AL40" s="58"/>
      <c r="AM40" s="58"/>
      <c r="AN40" s="58"/>
      <c r="AO40" s="58"/>
      <c r="AP40" s="58"/>
      <c r="AQ40" s="58"/>
      <c r="AR40" s="58"/>
      <c r="AS40" s="58"/>
      <c r="AT40" s="58"/>
      <c r="AU40" s="58"/>
      <c r="AV40" s="58"/>
      <c r="AW40" s="58"/>
      <c r="AX40" s="58"/>
      <c r="AY40" s="58"/>
      <c r="AZ40" s="15"/>
    </row>
    <row r="41" spans="1:52" ht="10.5" customHeight="1">
      <c r="A41" s="14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57" t="s">
        <v>18</v>
      </c>
      <c r="AG41" s="57"/>
      <c r="AH41" s="57"/>
      <c r="AI41" s="57"/>
      <c r="AJ41" s="57"/>
      <c r="AK41" s="57"/>
      <c r="AL41" s="58" t="s">
        <v>19</v>
      </c>
      <c r="AM41" s="58"/>
      <c r="AN41" s="58"/>
      <c r="AO41" s="58"/>
      <c r="AP41" s="58"/>
      <c r="AQ41" s="58"/>
      <c r="AR41" s="58"/>
      <c r="AS41" s="58"/>
      <c r="AT41" s="58"/>
      <c r="AU41" s="58"/>
      <c r="AV41" s="58"/>
      <c r="AW41" s="58"/>
      <c r="AX41" s="58"/>
      <c r="AY41" s="58"/>
      <c r="AZ41" s="15"/>
    </row>
    <row r="42" spans="1:52" ht="10.5" customHeight="1">
      <c r="A42" s="14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57"/>
      <c r="AG42" s="57"/>
      <c r="AH42" s="57"/>
      <c r="AI42" s="57"/>
      <c r="AJ42" s="57"/>
      <c r="AK42" s="57"/>
      <c r="AL42" s="58"/>
      <c r="AM42" s="58"/>
      <c r="AN42" s="58"/>
      <c r="AO42" s="58"/>
      <c r="AP42" s="58"/>
      <c r="AQ42" s="58"/>
      <c r="AR42" s="58"/>
      <c r="AS42" s="58"/>
      <c r="AT42" s="58"/>
      <c r="AU42" s="58"/>
      <c r="AV42" s="58"/>
      <c r="AW42" s="58"/>
      <c r="AX42" s="58"/>
      <c r="AY42" s="58"/>
      <c r="AZ42" s="15"/>
    </row>
    <row r="43" spans="1:52" ht="10.5" customHeight="1">
      <c r="A43" s="14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57" t="s">
        <v>15</v>
      </c>
      <c r="AG43" s="57"/>
      <c r="AH43" s="57"/>
      <c r="AI43" s="57"/>
      <c r="AJ43" s="57"/>
      <c r="AK43" s="57"/>
      <c r="AL43" s="59">
        <v>45636</v>
      </c>
      <c r="AM43" s="58"/>
      <c r="AN43" s="58"/>
      <c r="AO43" s="58"/>
      <c r="AP43" s="58"/>
      <c r="AQ43" s="58"/>
      <c r="AR43" s="58"/>
      <c r="AS43" s="58"/>
      <c r="AT43" s="58"/>
      <c r="AU43" s="58"/>
      <c r="AV43" s="58"/>
      <c r="AW43" s="58"/>
      <c r="AX43" s="58"/>
      <c r="AY43" s="58"/>
      <c r="AZ43" s="15"/>
    </row>
    <row r="44" spans="1:52" ht="10.5" customHeight="1">
      <c r="A44" s="14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57"/>
      <c r="AG44" s="57"/>
      <c r="AH44" s="57"/>
      <c r="AI44" s="57"/>
      <c r="AJ44" s="57"/>
      <c r="AK44" s="57"/>
      <c r="AL44" s="58"/>
      <c r="AM44" s="58"/>
      <c r="AN44" s="58"/>
      <c r="AO44" s="58"/>
      <c r="AP44" s="58"/>
      <c r="AQ44" s="58"/>
      <c r="AR44" s="58"/>
      <c r="AS44" s="58"/>
      <c r="AT44" s="58"/>
      <c r="AU44" s="58"/>
      <c r="AV44" s="58"/>
      <c r="AW44" s="58"/>
      <c r="AX44" s="58"/>
      <c r="AY44" s="58"/>
      <c r="AZ44" s="15"/>
    </row>
    <row r="45" spans="1:52" ht="10.5" customHeight="1">
      <c r="A45" s="14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57" t="s">
        <v>16</v>
      </c>
      <c r="AG45" s="57"/>
      <c r="AH45" s="57"/>
      <c r="AI45" s="57"/>
      <c r="AJ45" s="57"/>
      <c r="AK45" s="57"/>
      <c r="AL45" s="58" t="s">
        <v>11</v>
      </c>
      <c r="AM45" s="58"/>
      <c r="AN45" s="58"/>
      <c r="AO45" s="58"/>
      <c r="AP45" s="58"/>
      <c r="AQ45" s="58"/>
      <c r="AR45" s="58"/>
      <c r="AS45" s="58"/>
      <c r="AT45" s="58"/>
      <c r="AU45" s="58"/>
      <c r="AV45" s="58"/>
      <c r="AW45" s="58"/>
      <c r="AX45" s="58"/>
      <c r="AY45" s="58"/>
      <c r="AZ45" s="15"/>
    </row>
    <row r="46" spans="1:52" ht="10.5" customHeight="1">
      <c r="A46" s="14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57"/>
      <c r="AG46" s="57"/>
      <c r="AH46" s="57"/>
      <c r="AI46" s="57"/>
      <c r="AJ46" s="57"/>
      <c r="AK46" s="57"/>
      <c r="AL46" s="58"/>
      <c r="AM46" s="58"/>
      <c r="AN46" s="58"/>
      <c r="AO46" s="58"/>
      <c r="AP46" s="58"/>
      <c r="AQ46" s="58"/>
      <c r="AR46" s="58"/>
      <c r="AS46" s="58"/>
      <c r="AT46" s="58"/>
      <c r="AU46" s="58"/>
      <c r="AV46" s="58"/>
      <c r="AW46" s="58"/>
      <c r="AX46" s="58"/>
      <c r="AY46" s="58"/>
      <c r="AZ46" s="15"/>
    </row>
    <row r="47" spans="1:52">
      <c r="A47" s="14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15"/>
    </row>
    <row r="48" spans="1:52">
      <c r="A48" s="18"/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  <c r="AO48" s="19"/>
      <c r="AP48" s="19"/>
      <c r="AQ48" s="19"/>
      <c r="AR48" s="19"/>
      <c r="AS48" s="19"/>
      <c r="AT48" s="19"/>
      <c r="AU48" s="19"/>
      <c r="AV48" s="19"/>
      <c r="AW48" s="19"/>
      <c r="AX48" s="19"/>
      <c r="AY48" s="19"/>
      <c r="AZ48" s="20"/>
    </row>
  </sheetData>
  <mergeCells count="11">
    <mergeCell ref="AL45:AY46"/>
    <mergeCell ref="AF43:AK44"/>
    <mergeCell ref="AF45:AK46"/>
    <mergeCell ref="AF39:AK40"/>
    <mergeCell ref="AL39:AY40"/>
    <mergeCell ref="AL41:AY42"/>
    <mergeCell ref="I9:AR22"/>
    <mergeCell ref="AF41:AK42"/>
    <mergeCell ref="AF37:AK38"/>
    <mergeCell ref="AL37:AY38"/>
    <mergeCell ref="AL43:AY44"/>
  </mergeCells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E5570-4024-45AD-8A34-AABEA6C59DBC}">
  <dimension ref="C2:BH6"/>
  <sheetViews>
    <sheetView showGridLines="0" zoomScale="85" zoomScaleNormal="85" workbookViewId="0"/>
  </sheetViews>
  <sheetFormatPr defaultColWidth="2.59765625" defaultRowHeight="18"/>
  <sheetData>
    <row r="2" spans="3:60" ht="18" customHeight="1">
      <c r="C2" s="61" t="s">
        <v>12</v>
      </c>
      <c r="D2" s="61"/>
      <c r="E2" s="61"/>
      <c r="F2" s="61"/>
      <c r="G2" s="61"/>
      <c r="H2" s="61"/>
      <c r="I2" s="61"/>
      <c r="J2" s="61"/>
      <c r="K2" s="61"/>
      <c r="L2" s="61"/>
      <c r="M2" s="61"/>
      <c r="N2" s="62" t="s">
        <v>32</v>
      </c>
      <c r="O2" s="62"/>
      <c r="P2" s="62"/>
      <c r="Q2" s="62"/>
      <c r="R2" s="62"/>
      <c r="S2" s="62"/>
      <c r="T2" s="62"/>
      <c r="U2" s="62"/>
      <c r="V2" s="62"/>
      <c r="W2" s="63" t="str">
        <f>表紙!AL37</f>
        <v>OnehourDungeon</v>
      </c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5"/>
      <c r="AL2" s="70" t="s">
        <v>7</v>
      </c>
      <c r="AM2" s="70"/>
      <c r="AN2" s="70"/>
      <c r="AO2" s="70"/>
      <c r="AP2" s="70"/>
      <c r="AQ2" s="71" t="s">
        <v>11</v>
      </c>
      <c r="AR2" s="71"/>
      <c r="AS2" s="71"/>
      <c r="AT2" s="71"/>
      <c r="AU2" s="71"/>
      <c r="AV2" s="71"/>
      <c r="AW2" s="71"/>
      <c r="AX2" s="70" t="s">
        <v>8</v>
      </c>
      <c r="AY2" s="70"/>
      <c r="AZ2" s="70"/>
      <c r="BA2" s="70"/>
      <c r="BB2" s="70"/>
      <c r="BC2" s="71"/>
      <c r="BD2" s="71"/>
      <c r="BE2" s="71"/>
      <c r="BF2" s="71"/>
      <c r="BG2" s="71"/>
      <c r="BH2" s="71"/>
    </row>
    <row r="3" spans="3:60" ht="18" customHeight="1"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2" t="s">
        <v>33</v>
      </c>
      <c r="O3" s="62"/>
      <c r="P3" s="62"/>
      <c r="Q3" s="62"/>
      <c r="R3" s="62"/>
      <c r="S3" s="62"/>
      <c r="T3" s="62"/>
      <c r="U3" s="62"/>
      <c r="V3" s="62"/>
      <c r="W3" s="63" t="str">
        <f>表紙!AL39</f>
        <v>ローグライクRPG</v>
      </c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5"/>
      <c r="AL3" s="70" t="s">
        <v>9</v>
      </c>
      <c r="AM3" s="70"/>
      <c r="AN3" s="70"/>
      <c r="AO3" s="70"/>
      <c r="AP3" s="70"/>
      <c r="AQ3" s="72">
        <v>45636</v>
      </c>
      <c r="AR3" s="71"/>
      <c r="AS3" s="71"/>
      <c r="AT3" s="71"/>
      <c r="AU3" s="71"/>
      <c r="AV3" s="71"/>
      <c r="AW3" s="71"/>
      <c r="AX3" s="70" t="s">
        <v>10</v>
      </c>
      <c r="AY3" s="70"/>
      <c r="AZ3" s="70"/>
      <c r="BA3" s="70"/>
      <c r="BB3" s="70"/>
      <c r="BC3" s="71"/>
      <c r="BD3" s="71"/>
      <c r="BE3" s="71"/>
      <c r="BF3" s="71"/>
      <c r="BG3" s="71"/>
      <c r="BH3" s="71"/>
    </row>
    <row r="4" spans="3:60" ht="9" customHeight="1"/>
    <row r="5" spans="3:60">
      <c r="C5" s="66" t="s">
        <v>0</v>
      </c>
      <c r="D5" s="67"/>
      <c r="E5" s="67"/>
      <c r="F5" s="67"/>
      <c r="G5" s="68"/>
      <c r="H5" s="66" t="s">
        <v>1</v>
      </c>
      <c r="I5" s="67"/>
      <c r="J5" s="67"/>
      <c r="K5" s="67"/>
      <c r="L5" s="67"/>
      <c r="M5" s="68"/>
      <c r="N5" s="60" t="s">
        <v>14</v>
      </c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60"/>
      <c r="AA5" s="60"/>
      <c r="AB5" s="60"/>
      <c r="AC5" s="60"/>
      <c r="AD5" s="60"/>
      <c r="AE5" s="60"/>
      <c r="AF5" s="60"/>
      <c r="AG5" s="60"/>
      <c r="AH5" s="60"/>
      <c r="AI5" s="60"/>
      <c r="AJ5" s="60"/>
      <c r="AK5" s="60"/>
      <c r="AL5" s="60" t="s">
        <v>13</v>
      </c>
      <c r="AM5" s="60"/>
      <c r="AN5" s="60"/>
      <c r="AO5" s="60"/>
      <c r="AP5" s="60"/>
      <c r="AQ5" s="60"/>
      <c r="AR5" s="60"/>
      <c r="AS5" s="60"/>
      <c r="AT5" s="60"/>
      <c r="AU5" s="60"/>
      <c r="AV5" s="60"/>
      <c r="AW5" s="60"/>
      <c r="AX5" s="60" t="s">
        <v>2</v>
      </c>
      <c r="AY5" s="60"/>
      <c r="AZ5" s="60"/>
      <c r="BA5" s="60"/>
      <c r="BB5" s="60"/>
      <c r="BC5" s="60"/>
      <c r="BD5" s="60"/>
      <c r="BE5" s="60"/>
      <c r="BF5" s="60"/>
      <c r="BG5" s="60"/>
      <c r="BH5" s="60"/>
    </row>
    <row r="6" spans="3:60">
      <c r="C6" s="66" t="s">
        <v>5</v>
      </c>
      <c r="D6" s="67"/>
      <c r="E6" s="67"/>
      <c r="F6" s="67"/>
      <c r="G6" s="68"/>
      <c r="H6" s="69">
        <v>45636</v>
      </c>
      <c r="I6" s="67"/>
      <c r="J6" s="67"/>
      <c r="K6" s="67"/>
      <c r="L6" s="67"/>
      <c r="M6" s="68"/>
      <c r="N6" s="60" t="s">
        <v>4</v>
      </c>
      <c r="O6" s="60"/>
      <c r="P6" s="60"/>
      <c r="Q6" s="60"/>
      <c r="R6" s="60"/>
      <c r="S6" s="60"/>
      <c r="T6" s="60"/>
      <c r="U6" s="60"/>
      <c r="V6" s="60"/>
      <c r="W6" s="60"/>
      <c r="X6" s="60"/>
      <c r="Y6" s="60"/>
      <c r="Z6" s="60"/>
      <c r="AA6" s="60"/>
      <c r="AB6" s="60"/>
      <c r="AC6" s="60"/>
      <c r="AD6" s="60"/>
      <c r="AE6" s="60"/>
      <c r="AF6" s="60"/>
      <c r="AG6" s="60"/>
      <c r="AH6" s="60"/>
      <c r="AI6" s="60"/>
      <c r="AJ6" s="60"/>
      <c r="AK6" s="60"/>
      <c r="AL6" s="60" t="s">
        <v>3</v>
      </c>
      <c r="AM6" s="60"/>
      <c r="AN6" s="60"/>
      <c r="AO6" s="60"/>
      <c r="AP6" s="60"/>
      <c r="AQ6" s="60"/>
      <c r="AR6" s="60"/>
      <c r="AS6" s="60"/>
      <c r="AT6" s="60"/>
      <c r="AU6" s="60"/>
      <c r="AV6" s="60"/>
      <c r="AW6" s="60"/>
      <c r="AX6" s="60"/>
      <c r="AY6" s="60"/>
      <c r="AZ6" s="60"/>
      <c r="BA6" s="60"/>
      <c r="BB6" s="60"/>
      <c r="BC6" s="60"/>
      <c r="BD6" s="60"/>
      <c r="BE6" s="60"/>
      <c r="BF6" s="60"/>
      <c r="BG6" s="60"/>
      <c r="BH6" s="60"/>
    </row>
  </sheetData>
  <mergeCells count="23">
    <mergeCell ref="BC2:BH2"/>
    <mergeCell ref="N3:V3"/>
    <mergeCell ref="W3:AK3"/>
    <mergeCell ref="AL3:AP3"/>
    <mergeCell ref="AQ3:AW3"/>
    <mergeCell ref="AX3:BB3"/>
    <mergeCell ref="BC3:BH3"/>
    <mergeCell ref="AX6:BH6"/>
    <mergeCell ref="AL6:AW6"/>
    <mergeCell ref="C2:M3"/>
    <mergeCell ref="N2:V2"/>
    <mergeCell ref="W2:AK2"/>
    <mergeCell ref="C6:G6"/>
    <mergeCell ref="H6:M6"/>
    <mergeCell ref="N6:AK6"/>
    <mergeCell ref="C5:G5"/>
    <mergeCell ref="H5:M5"/>
    <mergeCell ref="N5:AK5"/>
    <mergeCell ref="AX5:BH5"/>
    <mergeCell ref="AL5:AW5"/>
    <mergeCell ref="AL2:AP2"/>
    <mergeCell ref="AQ2:AW2"/>
    <mergeCell ref="AX2:BB2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49B2-C572-41E3-8D64-0D51AF51891D}">
  <dimension ref="C2:BJ7"/>
  <sheetViews>
    <sheetView showGridLines="0" zoomScale="85" zoomScaleNormal="85" workbookViewId="0"/>
  </sheetViews>
  <sheetFormatPr defaultColWidth="2.59765625" defaultRowHeight="18"/>
  <sheetData>
    <row r="2" spans="3:62" ht="18" customHeight="1">
      <c r="C2" s="61" t="s">
        <v>86</v>
      </c>
      <c r="D2" s="61"/>
      <c r="E2" s="61"/>
      <c r="F2" s="61"/>
      <c r="G2" s="61"/>
      <c r="H2" s="61"/>
      <c r="I2" s="61"/>
      <c r="J2" s="61"/>
      <c r="K2" s="61"/>
      <c r="L2" s="61"/>
      <c r="M2" s="61"/>
      <c r="N2" s="62" t="s">
        <v>32</v>
      </c>
      <c r="O2" s="62"/>
      <c r="P2" s="62"/>
      <c r="Q2" s="62"/>
      <c r="R2" s="62"/>
      <c r="S2" s="62"/>
      <c r="T2" s="62"/>
      <c r="U2" s="62"/>
      <c r="V2" s="62"/>
      <c r="W2" s="63" t="str">
        <f>変更履歴!W2</f>
        <v>OnehourDungeon</v>
      </c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5"/>
      <c r="AN2" s="70" t="s">
        <v>7</v>
      </c>
      <c r="AO2" s="70"/>
      <c r="AP2" s="70"/>
      <c r="AQ2" s="70"/>
      <c r="AR2" s="70"/>
      <c r="AS2" s="71" t="str">
        <f>変更履歴!AQ2</f>
        <v>鷹木</v>
      </c>
      <c r="AT2" s="71"/>
      <c r="AU2" s="71"/>
      <c r="AV2" s="71"/>
      <c r="AW2" s="71"/>
      <c r="AX2" s="71"/>
      <c r="AY2" s="71"/>
      <c r="AZ2" s="70" t="s">
        <v>8</v>
      </c>
      <c r="BA2" s="70"/>
      <c r="BB2" s="70"/>
      <c r="BC2" s="70"/>
      <c r="BD2" s="70"/>
      <c r="BE2" s="71"/>
      <c r="BF2" s="71"/>
      <c r="BG2" s="71"/>
      <c r="BH2" s="71"/>
      <c r="BI2" s="71"/>
      <c r="BJ2" s="71"/>
    </row>
    <row r="3" spans="3:62" ht="18" customHeight="1"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2" t="s">
        <v>33</v>
      </c>
      <c r="O3" s="62"/>
      <c r="P3" s="62"/>
      <c r="Q3" s="62"/>
      <c r="R3" s="62"/>
      <c r="S3" s="62"/>
      <c r="T3" s="62"/>
      <c r="U3" s="62"/>
      <c r="V3" s="62"/>
      <c r="W3" s="63" t="str">
        <f>変更履歴!W3</f>
        <v>ローグライクRPG</v>
      </c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5"/>
      <c r="AN3" s="70" t="s">
        <v>9</v>
      </c>
      <c r="AO3" s="70"/>
      <c r="AP3" s="70"/>
      <c r="AQ3" s="70"/>
      <c r="AR3" s="70"/>
      <c r="AS3" s="72">
        <f>変更履歴!AQ3</f>
        <v>45636</v>
      </c>
      <c r="AT3" s="72"/>
      <c r="AU3" s="72"/>
      <c r="AV3" s="72"/>
      <c r="AW3" s="72"/>
      <c r="AX3" s="72"/>
      <c r="AY3" s="72"/>
      <c r="AZ3" s="70" t="s">
        <v>10</v>
      </c>
      <c r="BA3" s="70"/>
      <c r="BB3" s="70"/>
      <c r="BC3" s="70"/>
      <c r="BD3" s="70"/>
      <c r="BE3" s="71"/>
      <c r="BF3" s="71"/>
      <c r="BG3" s="71"/>
      <c r="BH3" s="71"/>
      <c r="BI3" s="71"/>
      <c r="BJ3" s="71"/>
    </row>
    <row r="4" spans="3:62" ht="10.5" customHeight="1"/>
    <row r="5" spans="3:62">
      <c r="C5" s="89"/>
      <c r="D5" s="89"/>
      <c r="E5" s="89" t="s">
        <v>87</v>
      </c>
      <c r="F5" s="89"/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  <c r="AA5" s="89"/>
      <c r="AB5" s="89"/>
      <c r="AC5" s="89"/>
      <c r="AD5" s="89"/>
      <c r="AE5" s="89" t="s">
        <v>88</v>
      </c>
      <c r="AF5" s="89"/>
      <c r="AG5" s="89"/>
      <c r="AH5" s="89"/>
      <c r="AI5" s="89"/>
      <c r="AJ5" s="89"/>
      <c r="AK5" s="89"/>
      <c r="AL5" s="89"/>
      <c r="AM5" s="89"/>
      <c r="AN5" s="89"/>
      <c r="AO5" s="89"/>
      <c r="AP5" s="89"/>
      <c r="AQ5" s="89"/>
      <c r="AR5" s="89"/>
      <c r="AS5" s="89"/>
      <c r="AT5" s="89"/>
      <c r="AU5" s="89"/>
      <c r="AV5" s="89"/>
      <c r="AW5" s="89"/>
      <c r="AX5" s="89"/>
      <c r="AY5" s="89"/>
      <c r="AZ5" s="89"/>
      <c r="BA5" s="89"/>
      <c r="BB5" s="89"/>
      <c r="BC5" s="89"/>
      <c r="BD5" s="89"/>
      <c r="BE5" s="89"/>
      <c r="BF5" s="89"/>
      <c r="BG5" s="89"/>
      <c r="BH5" s="89"/>
      <c r="BI5" s="89"/>
      <c r="BJ5" s="89"/>
    </row>
    <row r="6" spans="3:62" ht="108" customHeight="1">
      <c r="C6" s="84"/>
      <c r="D6" s="85"/>
      <c r="E6" s="78" t="s">
        <v>89</v>
      </c>
      <c r="F6" s="79"/>
      <c r="G6" s="79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  <c r="AA6" s="79"/>
      <c r="AB6" s="79"/>
      <c r="AC6" s="79"/>
      <c r="AD6" s="80"/>
      <c r="AE6" s="117" t="s">
        <v>90</v>
      </c>
      <c r="AF6" s="118"/>
      <c r="AG6" s="118"/>
      <c r="AH6" s="118"/>
      <c r="AI6" s="118"/>
      <c r="AJ6" s="118"/>
      <c r="AK6" s="118"/>
      <c r="AL6" s="118"/>
      <c r="AM6" s="118"/>
      <c r="AN6" s="118"/>
      <c r="AO6" s="118"/>
      <c r="AP6" s="118"/>
      <c r="AQ6" s="118"/>
      <c r="AR6" s="118"/>
      <c r="AS6" s="118"/>
      <c r="AT6" s="118"/>
      <c r="AU6" s="118"/>
      <c r="AV6" s="118"/>
      <c r="AW6" s="118"/>
      <c r="AX6" s="118"/>
      <c r="AY6" s="118"/>
      <c r="AZ6" s="118"/>
      <c r="BA6" s="118"/>
      <c r="BB6" s="118"/>
      <c r="BC6" s="118"/>
      <c r="BD6" s="118"/>
      <c r="BE6" s="118"/>
      <c r="BF6" s="118"/>
      <c r="BG6" s="118"/>
      <c r="BH6" s="118"/>
      <c r="BI6" s="118"/>
      <c r="BJ6" s="119"/>
    </row>
    <row r="7" spans="3:62">
      <c r="C7" s="73"/>
      <c r="D7" s="74"/>
      <c r="E7" s="81"/>
      <c r="F7" s="82"/>
      <c r="G7" s="82"/>
      <c r="H7" s="82"/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  <c r="Y7" s="82"/>
      <c r="Z7" s="82"/>
      <c r="AA7" s="82"/>
      <c r="AB7" s="82"/>
      <c r="AC7" s="82"/>
      <c r="AD7" s="83"/>
      <c r="AE7" s="75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76"/>
      <c r="AT7" s="76"/>
      <c r="AU7" s="76"/>
      <c r="AV7" s="76"/>
      <c r="AW7" s="76"/>
      <c r="AX7" s="76"/>
      <c r="AY7" s="76"/>
      <c r="AZ7" s="76"/>
      <c r="BA7" s="76"/>
      <c r="BB7" s="76"/>
      <c r="BC7" s="76"/>
      <c r="BD7" s="76"/>
      <c r="BE7" s="76"/>
      <c r="BF7" s="76"/>
      <c r="BG7" s="76"/>
      <c r="BH7" s="76"/>
      <c r="BI7" s="76"/>
      <c r="BJ7" s="77"/>
    </row>
  </sheetData>
  <mergeCells count="22">
    <mergeCell ref="C5:D5"/>
    <mergeCell ref="E5:AD5"/>
    <mergeCell ref="AE5:BJ5"/>
    <mergeCell ref="BE2:BJ2"/>
    <mergeCell ref="N3:V3"/>
    <mergeCell ref="W3:AM3"/>
    <mergeCell ref="AN3:AR3"/>
    <mergeCell ref="AS3:AY3"/>
    <mergeCell ref="AZ3:BD3"/>
    <mergeCell ref="BE3:BJ3"/>
    <mergeCell ref="C2:M3"/>
    <mergeCell ref="N2:V2"/>
    <mergeCell ref="W2:AM2"/>
    <mergeCell ref="AN2:AR2"/>
    <mergeCell ref="AS2:AY2"/>
    <mergeCell ref="AZ2:BD2"/>
    <mergeCell ref="C7:D7"/>
    <mergeCell ref="AE7:BJ7"/>
    <mergeCell ref="E6:AD6"/>
    <mergeCell ref="E7:AD7"/>
    <mergeCell ref="C6:D6"/>
    <mergeCell ref="AE6:BJ6"/>
  </mergeCells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2EE6C-8443-4EB9-8EFD-0D97747C0706}">
  <dimension ref="C2:BH34"/>
  <sheetViews>
    <sheetView showGridLines="0" zoomScale="85" zoomScaleNormal="85" workbookViewId="0"/>
  </sheetViews>
  <sheetFormatPr defaultColWidth="2.59765625" defaultRowHeight="18"/>
  <sheetData>
    <row r="2" spans="3:60" ht="18" customHeight="1">
      <c r="C2" s="61" t="s">
        <v>6</v>
      </c>
      <c r="D2" s="61"/>
      <c r="E2" s="61"/>
      <c r="F2" s="61"/>
      <c r="G2" s="61"/>
      <c r="H2" s="61"/>
      <c r="I2" s="61"/>
      <c r="J2" s="61"/>
      <c r="K2" s="61"/>
      <c r="L2" s="61"/>
      <c r="M2" s="61"/>
      <c r="N2" s="62" t="s">
        <v>32</v>
      </c>
      <c r="O2" s="62"/>
      <c r="P2" s="62"/>
      <c r="Q2" s="62"/>
      <c r="R2" s="62"/>
      <c r="S2" s="62"/>
      <c r="T2" s="62"/>
      <c r="U2" s="62"/>
      <c r="V2" s="62"/>
      <c r="W2" s="63" t="str">
        <f>変更履歴!W2</f>
        <v>OnehourDungeon</v>
      </c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5"/>
      <c r="AL2" s="70" t="s">
        <v>7</v>
      </c>
      <c r="AM2" s="70"/>
      <c r="AN2" s="70"/>
      <c r="AO2" s="70"/>
      <c r="AP2" s="70"/>
      <c r="AQ2" s="71" t="str">
        <f>変更履歴!AQ2</f>
        <v>鷹木</v>
      </c>
      <c r="AR2" s="71"/>
      <c r="AS2" s="71"/>
      <c r="AT2" s="71"/>
      <c r="AU2" s="71"/>
      <c r="AV2" s="71"/>
      <c r="AW2" s="71"/>
      <c r="AX2" s="70" t="s">
        <v>8</v>
      </c>
      <c r="AY2" s="70"/>
      <c r="AZ2" s="70"/>
      <c r="BA2" s="70"/>
      <c r="BB2" s="70"/>
      <c r="BC2" s="71"/>
      <c r="BD2" s="71"/>
      <c r="BE2" s="71"/>
      <c r="BF2" s="71"/>
      <c r="BG2" s="71"/>
      <c r="BH2" s="71"/>
    </row>
    <row r="3" spans="3:60" ht="18" customHeight="1"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2" t="s">
        <v>33</v>
      </c>
      <c r="O3" s="62"/>
      <c r="P3" s="62"/>
      <c r="Q3" s="62"/>
      <c r="R3" s="62"/>
      <c r="S3" s="62"/>
      <c r="T3" s="62"/>
      <c r="U3" s="62"/>
      <c r="V3" s="62"/>
      <c r="W3" s="63" t="str">
        <f>変更履歴!W3</f>
        <v>ローグライクRPG</v>
      </c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5"/>
      <c r="AL3" s="70" t="s">
        <v>9</v>
      </c>
      <c r="AM3" s="70"/>
      <c r="AN3" s="70"/>
      <c r="AO3" s="70"/>
      <c r="AP3" s="70"/>
      <c r="AQ3" s="72">
        <f>変更履歴!AQ3</f>
        <v>45636</v>
      </c>
      <c r="AR3" s="72"/>
      <c r="AS3" s="72"/>
      <c r="AT3" s="72"/>
      <c r="AU3" s="72"/>
      <c r="AV3" s="72"/>
      <c r="AW3" s="72"/>
      <c r="AX3" s="70" t="s">
        <v>10</v>
      </c>
      <c r="AY3" s="70"/>
      <c r="AZ3" s="70"/>
      <c r="BA3" s="70"/>
      <c r="BB3" s="70"/>
      <c r="BC3" s="71"/>
      <c r="BD3" s="71"/>
      <c r="BE3" s="71"/>
      <c r="BF3" s="71"/>
      <c r="BG3" s="71"/>
      <c r="BH3" s="71"/>
    </row>
    <row r="4" spans="3:60" ht="10.5" customHeight="1"/>
    <row r="5" spans="3:60">
      <c r="C5" s="1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3"/>
    </row>
    <row r="6" spans="3:60">
      <c r="C6" s="4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6"/>
    </row>
    <row r="7" spans="3:60">
      <c r="C7" s="4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6"/>
    </row>
    <row r="8" spans="3:60">
      <c r="C8" s="4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6"/>
    </row>
    <row r="9" spans="3:60">
      <c r="C9" s="1"/>
      <c r="D9" s="2"/>
      <c r="E9" s="2"/>
      <c r="F9" s="2"/>
      <c r="G9" s="2"/>
      <c r="H9" s="2"/>
      <c r="I9" s="2"/>
      <c r="J9" s="24"/>
      <c r="K9" s="2"/>
      <c r="L9" s="2"/>
      <c r="M9" s="2"/>
      <c r="N9" s="2"/>
      <c r="O9" s="24"/>
      <c r="P9" s="2"/>
      <c r="Q9" s="2"/>
      <c r="R9" s="2"/>
      <c r="S9" s="2"/>
      <c r="T9" s="2"/>
      <c r="U9" s="2"/>
      <c r="V9" s="2" t="s">
        <v>36</v>
      </c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3"/>
    </row>
    <row r="10" spans="3:60">
      <c r="C10" s="4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6"/>
    </row>
    <row r="11" spans="3:60">
      <c r="C11" s="4"/>
      <c r="D11" s="5"/>
      <c r="E11" s="5"/>
      <c r="F11" s="5"/>
      <c r="G11" s="5"/>
      <c r="H11" s="5"/>
      <c r="I11" s="5"/>
      <c r="J11" s="5"/>
      <c r="K11" s="5"/>
      <c r="L11" s="5"/>
      <c r="M11" s="5"/>
      <c r="N11" s="5" t="s">
        <v>34</v>
      </c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6"/>
    </row>
    <row r="12" spans="3:60">
      <c r="C12" s="4"/>
      <c r="D12" s="5"/>
      <c r="E12" s="5"/>
      <c r="F12" s="5"/>
      <c r="G12" s="5"/>
      <c r="H12" s="5"/>
      <c r="I12" s="5"/>
      <c r="J12" s="5"/>
      <c r="K12" s="5"/>
      <c r="L12" s="5"/>
      <c r="M12" s="5"/>
      <c r="N12" s="5" t="s">
        <v>35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6"/>
    </row>
    <row r="13" spans="3:60">
      <c r="C13" s="4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6"/>
    </row>
    <row r="14" spans="3:60">
      <c r="C14" s="4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 t="s">
        <v>34</v>
      </c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6"/>
    </row>
    <row r="15" spans="3:60">
      <c r="C15" s="4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 t="s">
        <v>35</v>
      </c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6"/>
    </row>
    <row r="16" spans="3:60">
      <c r="C16" s="4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6"/>
    </row>
    <row r="17" spans="3:60">
      <c r="C17" s="4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6"/>
    </row>
    <row r="18" spans="3:60">
      <c r="C18" s="4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6"/>
    </row>
    <row r="19" spans="3:60">
      <c r="C19" s="4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6"/>
    </row>
    <row r="20" spans="3:60">
      <c r="C20" s="1" t="s">
        <v>42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3"/>
    </row>
    <row r="21" spans="3:60">
      <c r="C21" s="4"/>
      <c r="D21" s="5"/>
      <c r="E21" s="5"/>
      <c r="F21" s="5" t="s">
        <v>41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 t="s">
        <v>40</v>
      </c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6"/>
    </row>
    <row r="22" spans="3:60">
      <c r="C22" s="4"/>
      <c r="D22" s="5"/>
      <c r="E22" s="5"/>
      <c r="F22" s="5" t="s">
        <v>37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 t="s">
        <v>38</v>
      </c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6"/>
    </row>
    <row r="23" spans="3:60">
      <c r="C23" s="4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6"/>
    </row>
    <row r="24" spans="3:60">
      <c r="C24" s="4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 t="s">
        <v>39</v>
      </c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6"/>
    </row>
    <row r="25" spans="3:60">
      <c r="C25" s="4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6"/>
    </row>
    <row r="26" spans="3:60">
      <c r="C26" s="4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6"/>
    </row>
    <row r="27" spans="3:60">
      <c r="C27" s="4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6"/>
    </row>
    <row r="28" spans="3:60">
      <c r="C28" s="4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6"/>
    </row>
    <row r="29" spans="3:60">
      <c r="C29" s="4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6"/>
    </row>
    <row r="30" spans="3:60">
      <c r="C30" s="4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6"/>
    </row>
    <row r="31" spans="3:60">
      <c r="C31" s="4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6"/>
    </row>
    <row r="32" spans="3:60">
      <c r="C32" s="4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K32" s="5"/>
      <c r="AL32" s="5"/>
      <c r="AM32" s="5"/>
      <c r="AN32" s="5"/>
      <c r="AO32" s="5"/>
      <c r="AP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6"/>
    </row>
    <row r="33" spans="3:60">
      <c r="C33" s="4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6"/>
    </row>
    <row r="34" spans="3:60">
      <c r="C34" s="7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  <c r="BC34" s="8"/>
      <c r="BD34" s="8"/>
      <c r="BE34" s="8"/>
      <c r="BF34" s="8"/>
      <c r="BG34" s="8"/>
      <c r="BH34" s="9"/>
    </row>
  </sheetData>
  <mergeCells count="13">
    <mergeCell ref="AX2:BB2"/>
    <mergeCell ref="BC2:BH2"/>
    <mergeCell ref="N3:V3"/>
    <mergeCell ref="W3:AK3"/>
    <mergeCell ref="AL3:AP3"/>
    <mergeCell ref="AQ3:AW3"/>
    <mergeCell ref="AX3:BB3"/>
    <mergeCell ref="BC3:BH3"/>
    <mergeCell ref="C2:M3"/>
    <mergeCell ref="N2:V2"/>
    <mergeCell ref="W2:AK2"/>
    <mergeCell ref="AL2:AP2"/>
    <mergeCell ref="AQ2:AW2"/>
  </mergeCells>
  <phoneticPr fontId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D2FB4-1E52-4CA6-86F6-D69979B10835}">
  <dimension ref="C2:BH17"/>
  <sheetViews>
    <sheetView showGridLines="0" zoomScale="85" zoomScaleNormal="85" workbookViewId="0"/>
  </sheetViews>
  <sheetFormatPr defaultColWidth="2.59765625" defaultRowHeight="18"/>
  <sheetData>
    <row r="2" spans="3:60" ht="18" customHeight="1">
      <c r="C2" s="61" t="s">
        <v>27</v>
      </c>
      <c r="D2" s="61"/>
      <c r="E2" s="61"/>
      <c r="F2" s="61"/>
      <c r="G2" s="61"/>
      <c r="H2" s="61"/>
      <c r="I2" s="61"/>
      <c r="J2" s="61"/>
      <c r="K2" s="61"/>
      <c r="L2" s="61"/>
      <c r="M2" s="61"/>
      <c r="N2" s="62" t="s">
        <v>32</v>
      </c>
      <c r="O2" s="62"/>
      <c r="P2" s="62"/>
      <c r="Q2" s="62"/>
      <c r="R2" s="62"/>
      <c r="S2" s="62"/>
      <c r="T2" s="62"/>
      <c r="U2" s="62"/>
      <c r="V2" s="62"/>
      <c r="W2" s="63" t="str">
        <f>変更履歴!W2</f>
        <v>OnehourDungeon</v>
      </c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5"/>
      <c r="AL2" s="70" t="s">
        <v>7</v>
      </c>
      <c r="AM2" s="70"/>
      <c r="AN2" s="70"/>
      <c r="AO2" s="70"/>
      <c r="AP2" s="70"/>
      <c r="AQ2" s="71" t="str">
        <f>変更履歴!AQ2</f>
        <v>鷹木</v>
      </c>
      <c r="AR2" s="71"/>
      <c r="AS2" s="71"/>
      <c r="AT2" s="71"/>
      <c r="AU2" s="71"/>
      <c r="AV2" s="71"/>
      <c r="AW2" s="71"/>
      <c r="AX2" s="70" t="s">
        <v>8</v>
      </c>
      <c r="AY2" s="70"/>
      <c r="AZ2" s="70"/>
      <c r="BA2" s="70"/>
      <c r="BB2" s="70"/>
      <c r="BC2" s="71"/>
      <c r="BD2" s="71"/>
      <c r="BE2" s="71"/>
      <c r="BF2" s="71"/>
      <c r="BG2" s="71"/>
      <c r="BH2" s="71"/>
    </row>
    <row r="3" spans="3:60" ht="18" customHeight="1"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2" t="s">
        <v>33</v>
      </c>
      <c r="O3" s="62"/>
      <c r="P3" s="62"/>
      <c r="Q3" s="62"/>
      <c r="R3" s="62"/>
      <c r="S3" s="62"/>
      <c r="T3" s="62"/>
      <c r="U3" s="62"/>
      <c r="V3" s="62"/>
      <c r="W3" s="63" t="str">
        <f>変更履歴!W3</f>
        <v>ローグライクRPG</v>
      </c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5"/>
      <c r="AL3" s="70" t="s">
        <v>9</v>
      </c>
      <c r="AM3" s="70"/>
      <c r="AN3" s="70"/>
      <c r="AO3" s="70"/>
      <c r="AP3" s="70"/>
      <c r="AQ3" s="72">
        <f>変更履歴!AQ3</f>
        <v>45636</v>
      </c>
      <c r="AR3" s="72"/>
      <c r="AS3" s="72"/>
      <c r="AT3" s="72"/>
      <c r="AU3" s="72"/>
      <c r="AV3" s="72"/>
      <c r="AW3" s="72"/>
      <c r="AX3" s="70" t="s">
        <v>10</v>
      </c>
      <c r="AY3" s="70"/>
      <c r="AZ3" s="70"/>
      <c r="BA3" s="70"/>
      <c r="BB3" s="70"/>
      <c r="BC3" s="71"/>
      <c r="BD3" s="71"/>
      <c r="BE3" s="71"/>
      <c r="BF3" s="71"/>
      <c r="BG3" s="71"/>
      <c r="BH3" s="71"/>
    </row>
    <row r="4" spans="3:60" ht="10.5" customHeight="1"/>
    <row r="5" spans="3:60">
      <c r="C5" s="89" t="s">
        <v>20</v>
      </c>
      <c r="D5" s="89"/>
      <c r="E5" s="89" t="s">
        <v>22</v>
      </c>
      <c r="F5" s="89"/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  <c r="AA5" s="89"/>
      <c r="AB5" s="89"/>
      <c r="AC5" s="89" t="s">
        <v>21</v>
      </c>
      <c r="AD5" s="89"/>
      <c r="AE5" s="89"/>
      <c r="AF5" s="89"/>
      <c r="AG5" s="89"/>
      <c r="AH5" s="89"/>
      <c r="AI5" s="89"/>
      <c r="AJ5" s="89" t="s">
        <v>23</v>
      </c>
      <c r="AK5" s="89"/>
      <c r="AL5" s="89"/>
      <c r="AM5" s="89"/>
      <c r="AN5" s="89"/>
      <c r="AO5" s="89"/>
      <c r="AP5" s="89"/>
      <c r="AQ5" s="89"/>
      <c r="AR5" s="89"/>
      <c r="AS5" s="89"/>
      <c r="AT5" s="89"/>
      <c r="AU5" s="89"/>
      <c r="AV5" s="89"/>
      <c r="AW5" s="89"/>
      <c r="AX5" s="89"/>
      <c r="AY5" s="89"/>
      <c r="AZ5" s="89"/>
      <c r="BA5" s="89"/>
      <c r="BB5" s="89"/>
      <c r="BC5" s="89"/>
      <c r="BD5" s="89"/>
      <c r="BE5" s="89"/>
      <c r="BF5" s="89"/>
      <c r="BG5" s="89"/>
      <c r="BH5" s="89"/>
    </row>
    <row r="6" spans="3:60">
      <c r="C6" s="89"/>
      <c r="D6" s="89"/>
      <c r="E6" s="89" t="s">
        <v>24</v>
      </c>
      <c r="F6" s="89"/>
      <c r="G6" s="89"/>
      <c r="H6" s="89"/>
      <c r="I6" s="89"/>
      <c r="J6" s="89"/>
      <c r="K6" s="89"/>
      <c r="L6" s="89"/>
      <c r="M6" s="89" t="s">
        <v>25</v>
      </c>
      <c r="N6" s="89"/>
      <c r="O6" s="89"/>
      <c r="P6" s="89"/>
      <c r="Q6" s="89"/>
      <c r="R6" s="89"/>
      <c r="S6" s="89"/>
      <c r="T6" s="89"/>
      <c r="U6" s="89" t="s">
        <v>26</v>
      </c>
      <c r="V6" s="89"/>
      <c r="W6" s="89"/>
      <c r="X6" s="89"/>
      <c r="Y6" s="89"/>
      <c r="Z6" s="89"/>
      <c r="AA6" s="89"/>
      <c r="AB6" s="89"/>
      <c r="AC6" s="89"/>
      <c r="AD6" s="89"/>
      <c r="AE6" s="89"/>
      <c r="AF6" s="89"/>
      <c r="AG6" s="89"/>
      <c r="AH6" s="89"/>
      <c r="AI6" s="89"/>
      <c r="AJ6" s="89"/>
      <c r="AK6" s="89"/>
      <c r="AL6" s="89"/>
      <c r="AM6" s="89"/>
      <c r="AN6" s="89"/>
      <c r="AO6" s="89"/>
      <c r="AP6" s="89"/>
      <c r="AQ6" s="89"/>
      <c r="AR6" s="89"/>
      <c r="AS6" s="89"/>
      <c r="AT6" s="89"/>
      <c r="AU6" s="89"/>
      <c r="AV6" s="89"/>
      <c r="AW6" s="89"/>
      <c r="AX6" s="89"/>
      <c r="AY6" s="89"/>
      <c r="AZ6" s="89"/>
      <c r="BA6" s="89"/>
      <c r="BB6" s="89"/>
      <c r="BC6" s="89"/>
      <c r="BD6" s="89"/>
      <c r="BE6" s="89"/>
      <c r="BF6" s="89"/>
      <c r="BG6" s="89"/>
      <c r="BH6" s="89"/>
    </row>
    <row r="7" spans="3:60">
      <c r="C7" s="84">
        <v>1</v>
      </c>
      <c r="D7" s="85"/>
      <c r="E7" s="96" t="s">
        <v>44</v>
      </c>
      <c r="F7" s="96"/>
      <c r="G7" s="96"/>
      <c r="H7" s="96"/>
      <c r="I7" s="96"/>
      <c r="J7" s="96"/>
      <c r="K7" s="96"/>
      <c r="L7" s="96"/>
      <c r="M7" s="97" t="s">
        <v>45</v>
      </c>
      <c r="N7" s="97"/>
      <c r="O7" s="97"/>
      <c r="P7" s="97"/>
      <c r="Q7" s="97"/>
      <c r="R7" s="97"/>
      <c r="S7" s="97"/>
      <c r="T7" s="97"/>
      <c r="U7" s="97"/>
      <c r="V7" s="97"/>
      <c r="W7" s="97"/>
      <c r="X7" s="97"/>
      <c r="Y7" s="97"/>
      <c r="Z7" s="97"/>
      <c r="AA7" s="97"/>
      <c r="AB7" s="97"/>
      <c r="AC7" s="97"/>
      <c r="AD7" s="97"/>
      <c r="AE7" s="97"/>
      <c r="AF7" s="97"/>
      <c r="AG7" s="97"/>
      <c r="AH7" s="97"/>
      <c r="AI7" s="97"/>
      <c r="AJ7" s="97" t="s">
        <v>62</v>
      </c>
      <c r="AK7" s="97"/>
      <c r="AL7" s="97"/>
      <c r="AM7" s="97"/>
      <c r="AN7" s="97"/>
      <c r="AO7" s="97"/>
      <c r="AP7" s="97"/>
      <c r="AQ7" s="97"/>
      <c r="AR7" s="97"/>
      <c r="AS7" s="97"/>
      <c r="AT7" s="97"/>
      <c r="AU7" s="97"/>
      <c r="AV7" s="97"/>
      <c r="AW7" s="97"/>
      <c r="AX7" s="97"/>
      <c r="AY7" s="97"/>
      <c r="AZ7" s="97"/>
      <c r="BA7" s="97"/>
      <c r="BB7" s="97"/>
      <c r="BC7" s="97"/>
      <c r="BD7" s="97"/>
      <c r="BE7" s="97"/>
      <c r="BF7" s="97"/>
      <c r="BG7" s="97"/>
      <c r="BH7" s="98"/>
    </row>
    <row r="8" spans="3:60">
      <c r="C8" s="91">
        <f>C7+1</f>
        <v>2</v>
      </c>
      <c r="D8" s="92"/>
      <c r="E8" s="93" t="s">
        <v>43</v>
      </c>
      <c r="F8" s="93"/>
      <c r="G8" s="93"/>
      <c r="H8" s="93"/>
      <c r="I8" s="93"/>
      <c r="J8" s="93"/>
      <c r="K8" s="93"/>
      <c r="L8" s="93"/>
      <c r="M8" s="94" t="s">
        <v>46</v>
      </c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  <c r="AD8" s="94"/>
      <c r="AE8" s="94"/>
      <c r="AF8" s="94"/>
      <c r="AG8" s="94"/>
      <c r="AH8" s="94"/>
      <c r="AI8" s="94"/>
      <c r="AJ8" s="94" t="s">
        <v>63</v>
      </c>
      <c r="AK8" s="94"/>
      <c r="AL8" s="94"/>
      <c r="AM8" s="94"/>
      <c r="AN8" s="94"/>
      <c r="AO8" s="94"/>
      <c r="AP8" s="94"/>
      <c r="AQ8" s="94"/>
      <c r="AR8" s="94"/>
      <c r="AS8" s="94"/>
      <c r="AT8" s="94"/>
      <c r="AU8" s="94"/>
      <c r="AV8" s="94"/>
      <c r="AW8" s="94"/>
      <c r="AX8" s="94"/>
      <c r="AY8" s="94"/>
      <c r="AZ8" s="94"/>
      <c r="BA8" s="94"/>
      <c r="BB8" s="94"/>
      <c r="BC8" s="94"/>
      <c r="BD8" s="94"/>
      <c r="BE8" s="94"/>
      <c r="BF8" s="94"/>
      <c r="BG8" s="94"/>
      <c r="BH8" s="95"/>
    </row>
    <row r="9" spans="3:60">
      <c r="C9" s="91">
        <f t="shared" ref="C9:C17" si="0">C8+1</f>
        <v>3</v>
      </c>
      <c r="D9" s="92"/>
      <c r="E9" s="93" t="s">
        <v>43</v>
      </c>
      <c r="F9" s="93"/>
      <c r="G9" s="93"/>
      <c r="H9" s="93"/>
      <c r="I9" s="93"/>
      <c r="J9" s="93"/>
      <c r="K9" s="93"/>
      <c r="L9" s="93"/>
      <c r="M9" s="94" t="s">
        <v>47</v>
      </c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  <c r="AD9" s="94"/>
      <c r="AE9" s="94"/>
      <c r="AF9" s="94"/>
      <c r="AG9" s="94"/>
      <c r="AH9" s="94"/>
      <c r="AI9" s="94"/>
      <c r="AJ9" s="94" t="s">
        <v>65</v>
      </c>
      <c r="AK9" s="94"/>
      <c r="AL9" s="94"/>
      <c r="AM9" s="94"/>
      <c r="AN9" s="94"/>
      <c r="AO9" s="94"/>
      <c r="AP9" s="94"/>
      <c r="AQ9" s="94"/>
      <c r="AR9" s="94"/>
      <c r="AS9" s="94"/>
      <c r="AT9" s="94"/>
      <c r="AU9" s="94"/>
      <c r="AV9" s="94"/>
      <c r="AW9" s="94"/>
      <c r="AX9" s="94"/>
      <c r="AY9" s="94"/>
      <c r="AZ9" s="94"/>
      <c r="BA9" s="94"/>
      <c r="BB9" s="94"/>
      <c r="BC9" s="94"/>
      <c r="BD9" s="94"/>
      <c r="BE9" s="94"/>
      <c r="BF9" s="94"/>
      <c r="BG9" s="94"/>
      <c r="BH9" s="95"/>
    </row>
    <row r="10" spans="3:60">
      <c r="C10" s="91">
        <f t="shared" si="0"/>
        <v>4</v>
      </c>
      <c r="D10" s="92"/>
      <c r="E10" s="93" t="s">
        <v>43</v>
      </c>
      <c r="F10" s="93"/>
      <c r="G10" s="93"/>
      <c r="H10" s="93"/>
      <c r="I10" s="93"/>
      <c r="J10" s="93"/>
      <c r="K10" s="93"/>
      <c r="L10" s="93"/>
      <c r="M10" s="94" t="s">
        <v>48</v>
      </c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  <c r="AD10" s="94"/>
      <c r="AE10" s="94"/>
      <c r="AF10" s="94"/>
      <c r="AG10" s="94"/>
      <c r="AH10" s="94"/>
      <c r="AI10" s="94"/>
      <c r="AJ10" s="94" t="s">
        <v>64</v>
      </c>
      <c r="AK10" s="94"/>
      <c r="AL10" s="94"/>
      <c r="AM10" s="94"/>
      <c r="AN10" s="94"/>
      <c r="AO10" s="94"/>
      <c r="AP10" s="94"/>
      <c r="AQ10" s="94"/>
      <c r="AR10" s="94"/>
      <c r="AS10" s="94"/>
      <c r="AT10" s="94"/>
      <c r="AU10" s="94"/>
      <c r="AV10" s="94"/>
      <c r="AW10" s="94"/>
      <c r="AX10" s="94"/>
      <c r="AY10" s="94"/>
      <c r="AZ10" s="94"/>
      <c r="BA10" s="94"/>
      <c r="BB10" s="94"/>
      <c r="BC10" s="94"/>
      <c r="BD10" s="94"/>
      <c r="BE10" s="94"/>
      <c r="BF10" s="94"/>
      <c r="BG10" s="94"/>
      <c r="BH10" s="95"/>
    </row>
    <row r="11" spans="3:60" ht="28.95" customHeight="1">
      <c r="C11" s="91">
        <f t="shared" si="0"/>
        <v>5</v>
      </c>
      <c r="D11" s="92"/>
      <c r="E11" s="93"/>
      <c r="F11" s="93"/>
      <c r="G11" s="93"/>
      <c r="H11" s="93"/>
      <c r="I11" s="93"/>
      <c r="J11" s="93"/>
      <c r="K11" s="93"/>
      <c r="L11" s="93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  <c r="AD11" s="94"/>
      <c r="AE11" s="94"/>
      <c r="AF11" s="94"/>
      <c r="AG11" s="94"/>
      <c r="AH11" s="94"/>
      <c r="AI11" s="94"/>
      <c r="AJ11" s="99"/>
      <c r="AK11" s="99"/>
      <c r="AL11" s="99"/>
      <c r="AM11" s="99"/>
      <c r="AN11" s="99"/>
      <c r="AO11" s="99"/>
      <c r="AP11" s="99"/>
      <c r="AQ11" s="99"/>
      <c r="AR11" s="99"/>
      <c r="AS11" s="99"/>
      <c r="AT11" s="99"/>
      <c r="AU11" s="99"/>
      <c r="AV11" s="99"/>
      <c r="AW11" s="99"/>
      <c r="AX11" s="99"/>
      <c r="AY11" s="99"/>
      <c r="AZ11" s="99"/>
      <c r="BA11" s="99"/>
      <c r="BB11" s="99"/>
      <c r="BC11" s="99"/>
      <c r="BD11" s="99"/>
      <c r="BE11" s="99"/>
      <c r="BF11" s="99"/>
      <c r="BG11" s="99"/>
      <c r="BH11" s="100"/>
    </row>
    <row r="12" spans="3:60">
      <c r="C12" s="91">
        <f t="shared" si="0"/>
        <v>6</v>
      </c>
      <c r="D12" s="92"/>
      <c r="E12" s="93"/>
      <c r="F12" s="93"/>
      <c r="G12" s="93"/>
      <c r="H12" s="93"/>
      <c r="I12" s="93"/>
      <c r="J12" s="93"/>
      <c r="K12" s="93"/>
      <c r="L12" s="93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  <c r="AD12" s="94"/>
      <c r="AE12" s="94"/>
      <c r="AF12" s="94"/>
      <c r="AG12" s="94"/>
      <c r="AH12" s="94"/>
      <c r="AI12" s="94"/>
      <c r="AJ12" s="94"/>
      <c r="AK12" s="94"/>
      <c r="AL12" s="94"/>
      <c r="AM12" s="94"/>
      <c r="AN12" s="94"/>
      <c r="AO12" s="94"/>
      <c r="AP12" s="94"/>
      <c r="AQ12" s="94"/>
      <c r="AR12" s="94"/>
      <c r="AS12" s="94"/>
      <c r="AT12" s="94"/>
      <c r="AU12" s="94"/>
      <c r="AV12" s="94"/>
      <c r="AW12" s="94"/>
      <c r="AX12" s="94"/>
      <c r="AY12" s="94"/>
      <c r="AZ12" s="94"/>
      <c r="BA12" s="94"/>
      <c r="BB12" s="94"/>
      <c r="BC12" s="94"/>
      <c r="BD12" s="94"/>
      <c r="BE12" s="94"/>
      <c r="BF12" s="94"/>
      <c r="BG12" s="94"/>
      <c r="BH12" s="95"/>
    </row>
    <row r="13" spans="3:60">
      <c r="C13" s="91">
        <f t="shared" si="0"/>
        <v>7</v>
      </c>
      <c r="D13" s="92"/>
      <c r="E13" s="93"/>
      <c r="F13" s="93"/>
      <c r="G13" s="93"/>
      <c r="H13" s="93"/>
      <c r="I13" s="93"/>
      <c r="J13" s="93"/>
      <c r="K13" s="93"/>
      <c r="L13" s="93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  <c r="AD13" s="94"/>
      <c r="AE13" s="94"/>
      <c r="AF13" s="94"/>
      <c r="AG13" s="94"/>
      <c r="AH13" s="94"/>
      <c r="AI13" s="94"/>
      <c r="AJ13" s="94"/>
      <c r="AK13" s="94"/>
      <c r="AL13" s="94"/>
      <c r="AM13" s="94"/>
      <c r="AN13" s="94"/>
      <c r="AO13" s="94"/>
      <c r="AP13" s="94"/>
      <c r="AQ13" s="94"/>
      <c r="AR13" s="94"/>
      <c r="AS13" s="94"/>
      <c r="AT13" s="94"/>
      <c r="AU13" s="94"/>
      <c r="AV13" s="94"/>
      <c r="AW13" s="94"/>
      <c r="AX13" s="94"/>
      <c r="AY13" s="94"/>
      <c r="AZ13" s="94"/>
      <c r="BA13" s="94"/>
      <c r="BB13" s="94"/>
      <c r="BC13" s="94"/>
      <c r="BD13" s="94"/>
      <c r="BE13" s="94"/>
      <c r="BF13" s="94"/>
      <c r="BG13" s="94"/>
      <c r="BH13" s="95"/>
    </row>
    <row r="14" spans="3:60">
      <c r="C14" s="91">
        <f t="shared" si="0"/>
        <v>8</v>
      </c>
      <c r="D14" s="92"/>
      <c r="E14" s="93"/>
      <c r="F14" s="93"/>
      <c r="G14" s="93"/>
      <c r="H14" s="93"/>
      <c r="I14" s="93"/>
      <c r="J14" s="93"/>
      <c r="K14" s="93"/>
      <c r="L14" s="93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  <c r="AD14" s="94"/>
      <c r="AE14" s="94"/>
      <c r="AF14" s="94"/>
      <c r="AG14" s="94"/>
      <c r="AH14" s="94"/>
      <c r="AI14" s="94"/>
      <c r="AJ14" s="94"/>
      <c r="AK14" s="94"/>
      <c r="AL14" s="94"/>
      <c r="AM14" s="94"/>
      <c r="AN14" s="94"/>
      <c r="AO14" s="94"/>
      <c r="AP14" s="94"/>
      <c r="AQ14" s="94"/>
      <c r="AR14" s="94"/>
      <c r="AS14" s="94"/>
      <c r="AT14" s="94"/>
      <c r="AU14" s="94"/>
      <c r="AV14" s="94"/>
      <c r="AW14" s="94"/>
      <c r="AX14" s="94"/>
      <c r="AY14" s="94"/>
      <c r="AZ14" s="94"/>
      <c r="BA14" s="94"/>
      <c r="BB14" s="94"/>
      <c r="BC14" s="94"/>
      <c r="BD14" s="94"/>
      <c r="BE14" s="94"/>
      <c r="BF14" s="94"/>
      <c r="BG14" s="94"/>
      <c r="BH14" s="95"/>
    </row>
    <row r="15" spans="3:60">
      <c r="C15" s="91">
        <f t="shared" si="0"/>
        <v>9</v>
      </c>
      <c r="D15" s="92"/>
      <c r="E15" s="93"/>
      <c r="F15" s="93"/>
      <c r="G15" s="93"/>
      <c r="H15" s="93"/>
      <c r="I15" s="93"/>
      <c r="J15" s="93"/>
      <c r="K15" s="93"/>
      <c r="L15" s="93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  <c r="AD15" s="94"/>
      <c r="AE15" s="94"/>
      <c r="AF15" s="94"/>
      <c r="AG15" s="94"/>
      <c r="AH15" s="94"/>
      <c r="AI15" s="94"/>
      <c r="AJ15" s="94"/>
      <c r="AK15" s="94"/>
      <c r="AL15" s="94"/>
      <c r="AM15" s="94"/>
      <c r="AN15" s="94"/>
      <c r="AO15" s="94"/>
      <c r="AP15" s="94"/>
      <c r="AQ15" s="94"/>
      <c r="AR15" s="94"/>
      <c r="AS15" s="94"/>
      <c r="AT15" s="94"/>
      <c r="AU15" s="94"/>
      <c r="AV15" s="94"/>
      <c r="AW15" s="94"/>
      <c r="AX15" s="94"/>
      <c r="AY15" s="94"/>
      <c r="AZ15" s="94"/>
      <c r="BA15" s="94"/>
      <c r="BB15" s="94"/>
      <c r="BC15" s="94"/>
      <c r="BD15" s="94"/>
      <c r="BE15" s="94"/>
      <c r="BF15" s="94"/>
      <c r="BG15" s="94"/>
      <c r="BH15" s="95"/>
    </row>
    <row r="16" spans="3:60">
      <c r="C16" s="91">
        <f t="shared" si="0"/>
        <v>10</v>
      </c>
      <c r="D16" s="92"/>
      <c r="E16" s="93"/>
      <c r="F16" s="93"/>
      <c r="G16" s="93"/>
      <c r="H16" s="93"/>
      <c r="I16" s="93"/>
      <c r="J16" s="93"/>
      <c r="K16" s="93"/>
      <c r="L16" s="93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  <c r="AD16" s="94"/>
      <c r="AE16" s="94"/>
      <c r="AF16" s="94"/>
      <c r="AG16" s="94"/>
      <c r="AH16" s="94"/>
      <c r="AI16" s="94"/>
      <c r="AJ16" s="94"/>
      <c r="AK16" s="94"/>
      <c r="AL16" s="94"/>
      <c r="AM16" s="94"/>
      <c r="AN16" s="94"/>
      <c r="AO16" s="94"/>
      <c r="AP16" s="94"/>
      <c r="AQ16" s="94"/>
      <c r="AR16" s="94"/>
      <c r="AS16" s="94"/>
      <c r="AT16" s="94"/>
      <c r="AU16" s="94"/>
      <c r="AV16" s="94"/>
      <c r="AW16" s="94"/>
      <c r="AX16" s="94"/>
      <c r="AY16" s="94"/>
      <c r="AZ16" s="94"/>
      <c r="BA16" s="94"/>
      <c r="BB16" s="94"/>
      <c r="BC16" s="94"/>
      <c r="BD16" s="94"/>
      <c r="BE16" s="94"/>
      <c r="BF16" s="94"/>
      <c r="BG16" s="94"/>
      <c r="BH16" s="95"/>
    </row>
    <row r="17" spans="3:60">
      <c r="C17" s="73">
        <f t="shared" si="0"/>
        <v>11</v>
      </c>
      <c r="D17" s="74"/>
      <c r="E17" s="90"/>
      <c r="F17" s="90"/>
      <c r="G17" s="90"/>
      <c r="H17" s="90"/>
      <c r="I17" s="90"/>
      <c r="J17" s="90"/>
      <c r="K17" s="90"/>
      <c r="L17" s="90"/>
      <c r="M17" s="101"/>
      <c r="N17" s="101"/>
      <c r="O17" s="101"/>
      <c r="P17" s="101"/>
      <c r="Q17" s="101"/>
      <c r="R17" s="101"/>
      <c r="S17" s="101"/>
      <c r="T17" s="101"/>
      <c r="U17" s="101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01"/>
      <c r="AI17" s="101"/>
      <c r="AJ17" s="101"/>
      <c r="AK17" s="101"/>
      <c r="AL17" s="101"/>
      <c r="AM17" s="101"/>
      <c r="AN17" s="101"/>
      <c r="AO17" s="101"/>
      <c r="AP17" s="101"/>
      <c r="AQ17" s="101"/>
      <c r="AR17" s="101"/>
      <c r="AS17" s="101"/>
      <c r="AT17" s="101"/>
      <c r="AU17" s="101"/>
      <c r="AV17" s="101"/>
      <c r="AW17" s="101"/>
      <c r="AX17" s="101"/>
      <c r="AY17" s="101"/>
      <c r="AZ17" s="101"/>
      <c r="BA17" s="101"/>
      <c r="BB17" s="101"/>
      <c r="BC17" s="101"/>
      <c r="BD17" s="101"/>
      <c r="BE17" s="101"/>
      <c r="BF17" s="101"/>
      <c r="BG17" s="101"/>
      <c r="BH17" s="102"/>
    </row>
  </sheetData>
  <mergeCells count="86">
    <mergeCell ref="M17:T17"/>
    <mergeCell ref="U17:AB17"/>
    <mergeCell ref="AC17:AI17"/>
    <mergeCell ref="AJ17:BH17"/>
    <mergeCell ref="E15:L15"/>
    <mergeCell ref="M15:T15"/>
    <mergeCell ref="U15:AB15"/>
    <mergeCell ref="AC15:AI15"/>
    <mergeCell ref="AJ15:BH15"/>
    <mergeCell ref="E16:L16"/>
    <mergeCell ref="M16:T16"/>
    <mergeCell ref="U16:AB16"/>
    <mergeCell ref="AC16:AI16"/>
    <mergeCell ref="AJ16:BH16"/>
    <mergeCell ref="M14:T14"/>
    <mergeCell ref="U14:AB14"/>
    <mergeCell ref="AC14:AI14"/>
    <mergeCell ref="AJ14:BH14"/>
    <mergeCell ref="E13:L13"/>
    <mergeCell ref="M13:T13"/>
    <mergeCell ref="U13:AB13"/>
    <mergeCell ref="AC13:AI13"/>
    <mergeCell ref="AJ13:BH13"/>
    <mergeCell ref="M12:T12"/>
    <mergeCell ref="U12:AB12"/>
    <mergeCell ref="AC12:AI12"/>
    <mergeCell ref="AJ12:BH12"/>
    <mergeCell ref="E11:L11"/>
    <mergeCell ref="M11:T11"/>
    <mergeCell ref="U11:AB11"/>
    <mergeCell ref="AC11:AI11"/>
    <mergeCell ref="AJ11:BH11"/>
    <mergeCell ref="M10:T10"/>
    <mergeCell ref="U10:AB10"/>
    <mergeCell ref="AC10:AI10"/>
    <mergeCell ref="AJ10:BH10"/>
    <mergeCell ref="E9:L9"/>
    <mergeCell ref="M9:T9"/>
    <mergeCell ref="U9:AB9"/>
    <mergeCell ref="AC9:AI9"/>
    <mergeCell ref="AJ9:BH9"/>
    <mergeCell ref="M8:T8"/>
    <mergeCell ref="U8:AB8"/>
    <mergeCell ref="AC8:AI8"/>
    <mergeCell ref="AJ8:BH8"/>
    <mergeCell ref="E7:L7"/>
    <mergeCell ref="M7:T7"/>
    <mergeCell ref="U7:AB7"/>
    <mergeCell ref="AC7:AI7"/>
    <mergeCell ref="AJ7:BH7"/>
    <mergeCell ref="C5:D6"/>
    <mergeCell ref="E5:AB5"/>
    <mergeCell ref="AC5:AI6"/>
    <mergeCell ref="AJ5:BH6"/>
    <mergeCell ref="E6:L6"/>
    <mergeCell ref="M6:T6"/>
    <mergeCell ref="U6:AB6"/>
    <mergeCell ref="C7:D7"/>
    <mergeCell ref="C17:D17"/>
    <mergeCell ref="E17:L17"/>
    <mergeCell ref="C15:D15"/>
    <mergeCell ref="C14:D14"/>
    <mergeCell ref="C11:D11"/>
    <mergeCell ref="C10:D10"/>
    <mergeCell ref="C16:D16"/>
    <mergeCell ref="C13:D13"/>
    <mergeCell ref="C12:D12"/>
    <mergeCell ref="C9:D9"/>
    <mergeCell ref="C8:D8"/>
    <mergeCell ref="E8:L8"/>
    <mergeCell ref="E10:L10"/>
    <mergeCell ref="E12:L12"/>
    <mergeCell ref="E14:L14"/>
    <mergeCell ref="BC2:BH2"/>
    <mergeCell ref="N3:V3"/>
    <mergeCell ref="W3:AK3"/>
    <mergeCell ref="AL3:AP3"/>
    <mergeCell ref="AQ3:AW3"/>
    <mergeCell ref="AX3:BB3"/>
    <mergeCell ref="BC3:BH3"/>
    <mergeCell ref="AX2:BB2"/>
    <mergeCell ref="C2:M3"/>
    <mergeCell ref="N2:V2"/>
    <mergeCell ref="W2:AK2"/>
    <mergeCell ref="AL2:AP2"/>
    <mergeCell ref="AQ2:AW2"/>
  </mergeCells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6E15B-99BC-48C3-B96B-EE28F1ECC6D1}">
  <dimension ref="C2:BJ17"/>
  <sheetViews>
    <sheetView showGridLines="0" zoomScale="85" zoomScaleNormal="85" workbookViewId="0"/>
  </sheetViews>
  <sheetFormatPr defaultColWidth="2.59765625" defaultRowHeight="18"/>
  <sheetData>
    <row r="2" spans="3:62" ht="18" customHeight="1">
      <c r="C2" s="61" t="s">
        <v>67</v>
      </c>
      <c r="D2" s="61"/>
      <c r="E2" s="61"/>
      <c r="F2" s="61"/>
      <c r="G2" s="61"/>
      <c r="H2" s="61"/>
      <c r="I2" s="61"/>
      <c r="J2" s="61"/>
      <c r="K2" s="61"/>
      <c r="L2" s="61"/>
      <c r="M2" s="61"/>
      <c r="N2" s="62" t="s">
        <v>32</v>
      </c>
      <c r="O2" s="62"/>
      <c r="P2" s="62"/>
      <c r="Q2" s="62"/>
      <c r="R2" s="62"/>
      <c r="S2" s="62"/>
      <c r="T2" s="62"/>
      <c r="U2" s="62"/>
      <c r="V2" s="62"/>
      <c r="W2" s="63" t="str">
        <f>変更履歴!W2</f>
        <v>OnehourDungeon</v>
      </c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5"/>
      <c r="AN2" s="70" t="s">
        <v>7</v>
      </c>
      <c r="AO2" s="70"/>
      <c r="AP2" s="70"/>
      <c r="AQ2" s="70"/>
      <c r="AR2" s="70"/>
      <c r="AS2" s="71" t="str">
        <f>変更履歴!AQ2</f>
        <v>鷹木</v>
      </c>
      <c r="AT2" s="71"/>
      <c r="AU2" s="71"/>
      <c r="AV2" s="71"/>
      <c r="AW2" s="71"/>
      <c r="AX2" s="71"/>
      <c r="AY2" s="71"/>
      <c r="AZ2" s="70" t="s">
        <v>8</v>
      </c>
      <c r="BA2" s="70"/>
      <c r="BB2" s="70"/>
      <c r="BC2" s="70"/>
      <c r="BD2" s="70"/>
      <c r="BE2" s="71"/>
      <c r="BF2" s="71"/>
      <c r="BG2" s="71"/>
      <c r="BH2" s="71"/>
      <c r="BI2" s="71"/>
      <c r="BJ2" s="71"/>
    </row>
    <row r="3" spans="3:62" ht="18" customHeight="1"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2" t="s">
        <v>33</v>
      </c>
      <c r="O3" s="62"/>
      <c r="P3" s="62"/>
      <c r="Q3" s="62"/>
      <c r="R3" s="62"/>
      <c r="S3" s="62"/>
      <c r="T3" s="62"/>
      <c r="U3" s="62"/>
      <c r="V3" s="62"/>
      <c r="W3" s="63" t="str">
        <f>変更履歴!W3</f>
        <v>ローグライクRPG</v>
      </c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5"/>
      <c r="AN3" s="70" t="s">
        <v>9</v>
      </c>
      <c r="AO3" s="70"/>
      <c r="AP3" s="70"/>
      <c r="AQ3" s="70"/>
      <c r="AR3" s="70"/>
      <c r="AS3" s="72">
        <f>変更履歴!AQ3</f>
        <v>45636</v>
      </c>
      <c r="AT3" s="72"/>
      <c r="AU3" s="72"/>
      <c r="AV3" s="72"/>
      <c r="AW3" s="72"/>
      <c r="AX3" s="72"/>
      <c r="AY3" s="72"/>
      <c r="AZ3" s="70" t="s">
        <v>10</v>
      </c>
      <c r="BA3" s="70"/>
      <c r="BB3" s="70"/>
      <c r="BC3" s="70"/>
      <c r="BD3" s="70"/>
      <c r="BE3" s="71"/>
      <c r="BF3" s="71"/>
      <c r="BG3" s="71"/>
      <c r="BH3" s="71"/>
      <c r="BI3" s="71"/>
      <c r="BJ3" s="71"/>
    </row>
    <row r="4" spans="3:62" ht="10.5" customHeight="1"/>
    <row r="5" spans="3:62">
      <c r="C5" s="89" t="s">
        <v>20</v>
      </c>
      <c r="D5" s="89"/>
      <c r="E5" s="89" t="s">
        <v>67</v>
      </c>
      <c r="F5" s="89"/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  <c r="AA5" s="89"/>
      <c r="AB5" s="89"/>
      <c r="AC5" s="89"/>
      <c r="AD5" s="89"/>
      <c r="AE5" s="89" t="s">
        <v>23</v>
      </c>
      <c r="AF5" s="89"/>
      <c r="AG5" s="89"/>
      <c r="AH5" s="89"/>
      <c r="AI5" s="89"/>
      <c r="AJ5" s="89"/>
      <c r="AK5" s="89"/>
      <c r="AL5" s="89"/>
      <c r="AM5" s="89"/>
      <c r="AN5" s="89"/>
      <c r="AO5" s="89"/>
      <c r="AP5" s="89"/>
      <c r="AQ5" s="89"/>
      <c r="AR5" s="89"/>
      <c r="AS5" s="89"/>
      <c r="AT5" s="89"/>
      <c r="AU5" s="89"/>
      <c r="AV5" s="89"/>
      <c r="AW5" s="89"/>
      <c r="AX5" s="89"/>
      <c r="AY5" s="89"/>
      <c r="AZ5" s="89"/>
      <c r="BA5" s="89"/>
      <c r="BB5" s="89"/>
      <c r="BC5" s="89"/>
      <c r="BD5" s="89"/>
      <c r="BE5" s="89"/>
      <c r="BF5" s="89"/>
      <c r="BG5" s="89"/>
      <c r="BH5" s="89"/>
      <c r="BI5" s="89"/>
      <c r="BJ5" s="89"/>
    </row>
    <row r="6" spans="3:62">
      <c r="C6" s="89"/>
      <c r="D6" s="89"/>
      <c r="E6" s="89" t="s">
        <v>60</v>
      </c>
      <c r="F6" s="89"/>
      <c r="G6" s="89"/>
      <c r="H6" s="89"/>
      <c r="I6" s="89"/>
      <c r="J6" s="89"/>
      <c r="K6" s="89"/>
      <c r="L6" s="89"/>
      <c r="M6" s="89" t="s">
        <v>61</v>
      </c>
      <c r="N6" s="89"/>
      <c r="O6" s="89"/>
      <c r="P6" s="89"/>
      <c r="Q6" s="89"/>
      <c r="R6" s="89"/>
      <c r="S6" s="89"/>
      <c r="T6" s="89"/>
      <c r="U6" s="89" t="s">
        <v>69</v>
      </c>
      <c r="V6" s="89"/>
      <c r="W6" s="89"/>
      <c r="X6" s="89"/>
      <c r="Y6" s="89"/>
      <c r="Z6" s="89"/>
      <c r="AA6" s="89"/>
      <c r="AB6" s="89"/>
      <c r="AC6" s="89"/>
      <c r="AD6" s="89"/>
      <c r="AE6" s="89"/>
      <c r="AF6" s="89"/>
      <c r="AG6" s="89"/>
      <c r="AH6" s="89"/>
      <c r="AI6" s="89"/>
      <c r="AJ6" s="89"/>
      <c r="AK6" s="89"/>
      <c r="AL6" s="89"/>
      <c r="AM6" s="89"/>
      <c r="AN6" s="89"/>
      <c r="AO6" s="89"/>
      <c r="AP6" s="89"/>
      <c r="AQ6" s="89"/>
      <c r="AR6" s="89"/>
      <c r="AS6" s="89"/>
      <c r="AT6" s="89"/>
      <c r="AU6" s="89"/>
      <c r="AV6" s="89"/>
      <c r="AW6" s="89"/>
      <c r="AX6" s="89"/>
      <c r="AY6" s="89"/>
      <c r="AZ6" s="89"/>
      <c r="BA6" s="89"/>
      <c r="BB6" s="89"/>
      <c r="BC6" s="89"/>
      <c r="BD6" s="89"/>
      <c r="BE6" s="89"/>
      <c r="BF6" s="89"/>
      <c r="BG6" s="89"/>
      <c r="BH6" s="89"/>
      <c r="BI6" s="89"/>
      <c r="BJ6" s="89"/>
    </row>
    <row r="7" spans="3:62" ht="60" customHeight="1">
      <c r="C7" s="84">
        <v>1</v>
      </c>
      <c r="D7" s="85"/>
      <c r="E7" s="96" t="s">
        <v>66</v>
      </c>
      <c r="F7" s="96"/>
      <c r="G7" s="96"/>
      <c r="H7" s="96"/>
      <c r="I7" s="96"/>
      <c r="J7" s="96"/>
      <c r="K7" s="96"/>
      <c r="L7" s="96"/>
      <c r="M7" s="97" t="s">
        <v>68</v>
      </c>
      <c r="N7" s="97"/>
      <c r="O7" s="97"/>
      <c r="P7" s="97"/>
      <c r="Q7" s="97"/>
      <c r="R7" s="97"/>
      <c r="S7" s="97"/>
      <c r="T7" s="97"/>
      <c r="U7" s="106" t="s">
        <v>73</v>
      </c>
      <c r="V7" s="107"/>
      <c r="W7" s="107"/>
      <c r="X7" s="107"/>
      <c r="Y7" s="107"/>
      <c r="Z7" s="107"/>
      <c r="AA7" s="107"/>
      <c r="AB7" s="107"/>
      <c r="AC7" s="107"/>
      <c r="AD7" s="107"/>
      <c r="AE7" s="86" t="s">
        <v>70</v>
      </c>
      <c r="AF7" s="87"/>
      <c r="AG7" s="87"/>
      <c r="AH7" s="87"/>
      <c r="AI7" s="87"/>
      <c r="AJ7" s="87"/>
      <c r="AK7" s="87"/>
      <c r="AL7" s="87"/>
      <c r="AM7" s="87"/>
      <c r="AN7" s="87"/>
      <c r="AO7" s="87"/>
      <c r="AP7" s="87"/>
      <c r="AQ7" s="87"/>
      <c r="AR7" s="87"/>
      <c r="AS7" s="87"/>
      <c r="AT7" s="87"/>
      <c r="AU7" s="87"/>
      <c r="AV7" s="87"/>
      <c r="AW7" s="87"/>
      <c r="AX7" s="87"/>
      <c r="AY7" s="87"/>
      <c r="AZ7" s="87"/>
      <c r="BA7" s="87"/>
      <c r="BB7" s="87"/>
      <c r="BC7" s="87"/>
      <c r="BD7" s="87"/>
      <c r="BE7" s="87"/>
      <c r="BF7" s="87"/>
      <c r="BG7" s="87"/>
      <c r="BH7" s="87"/>
      <c r="BI7" s="87"/>
      <c r="BJ7" s="88"/>
    </row>
    <row r="8" spans="3:62" ht="35.4" customHeight="1">
      <c r="C8" s="91">
        <f>C7+1</f>
        <v>2</v>
      </c>
      <c r="D8" s="92"/>
      <c r="E8" s="93" t="s">
        <v>71</v>
      </c>
      <c r="F8" s="93"/>
      <c r="G8" s="93"/>
      <c r="H8" s="93"/>
      <c r="I8" s="93"/>
      <c r="J8" s="93"/>
      <c r="K8" s="93"/>
      <c r="L8" s="93"/>
      <c r="M8" s="94" t="s">
        <v>72</v>
      </c>
      <c r="N8" s="94"/>
      <c r="O8" s="94"/>
      <c r="P8" s="94"/>
      <c r="Q8" s="94"/>
      <c r="R8" s="94"/>
      <c r="S8" s="94"/>
      <c r="T8" s="94"/>
      <c r="U8" s="99" t="s">
        <v>74</v>
      </c>
      <c r="V8" s="94"/>
      <c r="W8" s="94"/>
      <c r="X8" s="94"/>
      <c r="Y8" s="94"/>
      <c r="Z8" s="94"/>
      <c r="AA8" s="94"/>
      <c r="AB8" s="94"/>
      <c r="AC8" s="94"/>
      <c r="AD8" s="94"/>
      <c r="AE8" s="103" t="s">
        <v>77</v>
      </c>
      <c r="AF8" s="104"/>
      <c r="AG8" s="104"/>
      <c r="AH8" s="104"/>
      <c r="AI8" s="104"/>
      <c r="AJ8" s="104"/>
      <c r="AK8" s="104"/>
      <c r="AL8" s="104"/>
      <c r="AM8" s="104"/>
      <c r="AN8" s="104"/>
      <c r="AO8" s="104"/>
      <c r="AP8" s="104"/>
      <c r="AQ8" s="104"/>
      <c r="AR8" s="104"/>
      <c r="AS8" s="104"/>
      <c r="AT8" s="104"/>
      <c r="AU8" s="104"/>
      <c r="AV8" s="104"/>
      <c r="AW8" s="104"/>
      <c r="AX8" s="104"/>
      <c r="AY8" s="104"/>
      <c r="AZ8" s="104"/>
      <c r="BA8" s="104"/>
      <c r="BB8" s="104"/>
      <c r="BC8" s="104"/>
      <c r="BD8" s="104"/>
      <c r="BE8" s="104"/>
      <c r="BF8" s="104"/>
      <c r="BG8" s="104"/>
      <c r="BH8" s="104"/>
      <c r="BI8" s="104"/>
      <c r="BJ8" s="105"/>
    </row>
    <row r="9" spans="3:62" ht="48.45" customHeight="1">
      <c r="C9" s="91">
        <f t="shared" ref="C9:C17" si="0">C8+1</f>
        <v>3</v>
      </c>
      <c r="D9" s="92"/>
      <c r="E9" s="93" t="s">
        <v>76</v>
      </c>
      <c r="F9" s="93"/>
      <c r="G9" s="93"/>
      <c r="H9" s="93"/>
      <c r="I9" s="93"/>
      <c r="J9" s="93"/>
      <c r="K9" s="93"/>
      <c r="L9" s="93"/>
      <c r="M9" s="94" t="s">
        <v>72</v>
      </c>
      <c r="N9" s="94"/>
      <c r="O9" s="94"/>
      <c r="P9" s="94"/>
      <c r="Q9" s="94"/>
      <c r="R9" s="94"/>
      <c r="S9" s="94"/>
      <c r="T9" s="94"/>
      <c r="U9" s="99" t="s">
        <v>78</v>
      </c>
      <c r="V9" s="94"/>
      <c r="W9" s="94"/>
      <c r="X9" s="94"/>
      <c r="Y9" s="94"/>
      <c r="Z9" s="94"/>
      <c r="AA9" s="94"/>
      <c r="AB9" s="94"/>
      <c r="AC9" s="94"/>
      <c r="AD9" s="94"/>
      <c r="AE9" s="103" t="s">
        <v>75</v>
      </c>
      <c r="AF9" s="104"/>
      <c r="AG9" s="104"/>
      <c r="AH9" s="104"/>
      <c r="AI9" s="104"/>
      <c r="AJ9" s="104"/>
      <c r="AK9" s="104"/>
      <c r="AL9" s="104"/>
      <c r="AM9" s="104"/>
      <c r="AN9" s="104"/>
      <c r="AO9" s="104"/>
      <c r="AP9" s="104"/>
      <c r="AQ9" s="104"/>
      <c r="AR9" s="104"/>
      <c r="AS9" s="104"/>
      <c r="AT9" s="104"/>
      <c r="AU9" s="104"/>
      <c r="AV9" s="104"/>
      <c r="AW9" s="104"/>
      <c r="AX9" s="104"/>
      <c r="AY9" s="104"/>
      <c r="AZ9" s="104"/>
      <c r="BA9" s="104"/>
      <c r="BB9" s="104"/>
      <c r="BC9" s="104"/>
      <c r="BD9" s="104"/>
      <c r="BE9" s="104"/>
      <c r="BF9" s="104"/>
      <c r="BG9" s="104"/>
      <c r="BH9" s="104"/>
      <c r="BI9" s="104"/>
      <c r="BJ9" s="105"/>
    </row>
    <row r="10" spans="3:62" ht="49.5" customHeight="1">
      <c r="C10" s="91">
        <f t="shared" si="0"/>
        <v>4</v>
      </c>
      <c r="D10" s="92"/>
      <c r="E10" s="93" t="s">
        <v>79</v>
      </c>
      <c r="F10" s="93"/>
      <c r="G10" s="93"/>
      <c r="H10" s="93"/>
      <c r="I10" s="93"/>
      <c r="J10" s="93"/>
      <c r="K10" s="93"/>
      <c r="L10" s="93"/>
      <c r="M10" s="94" t="s">
        <v>72</v>
      </c>
      <c r="N10" s="94"/>
      <c r="O10" s="94"/>
      <c r="P10" s="94"/>
      <c r="Q10" s="94"/>
      <c r="R10" s="94"/>
      <c r="S10" s="94"/>
      <c r="T10" s="94"/>
      <c r="U10" s="99" t="s">
        <v>80</v>
      </c>
      <c r="V10" s="94"/>
      <c r="W10" s="94"/>
      <c r="X10" s="94"/>
      <c r="Y10" s="94"/>
      <c r="Z10" s="94"/>
      <c r="AA10" s="94"/>
      <c r="AB10" s="94"/>
      <c r="AC10" s="94"/>
      <c r="AD10" s="94"/>
      <c r="AE10" s="103" t="s">
        <v>81</v>
      </c>
      <c r="AF10" s="104"/>
      <c r="AG10" s="104"/>
      <c r="AH10" s="104"/>
      <c r="AI10" s="104"/>
      <c r="AJ10" s="104"/>
      <c r="AK10" s="104"/>
      <c r="AL10" s="104"/>
      <c r="AM10" s="104"/>
      <c r="AN10" s="104"/>
      <c r="AO10" s="104"/>
      <c r="AP10" s="104"/>
      <c r="AQ10" s="104"/>
      <c r="AR10" s="104"/>
      <c r="AS10" s="104"/>
      <c r="AT10" s="104"/>
      <c r="AU10" s="104"/>
      <c r="AV10" s="104"/>
      <c r="AW10" s="104"/>
      <c r="AX10" s="104"/>
      <c r="AY10" s="104"/>
      <c r="AZ10" s="104"/>
      <c r="BA10" s="104"/>
      <c r="BB10" s="104"/>
      <c r="BC10" s="104"/>
      <c r="BD10" s="104"/>
      <c r="BE10" s="104"/>
      <c r="BF10" s="104"/>
      <c r="BG10" s="104"/>
      <c r="BH10" s="104"/>
      <c r="BI10" s="104"/>
      <c r="BJ10" s="105"/>
    </row>
    <row r="11" spans="3:62" ht="28.95" customHeight="1">
      <c r="C11" s="91">
        <f t="shared" si="0"/>
        <v>5</v>
      </c>
      <c r="D11" s="92"/>
      <c r="E11" s="93" t="s">
        <v>83</v>
      </c>
      <c r="F11" s="93"/>
      <c r="G11" s="93"/>
      <c r="H11" s="93"/>
      <c r="I11" s="93"/>
      <c r="J11" s="93"/>
      <c r="K11" s="93"/>
      <c r="L11" s="93"/>
      <c r="M11" s="94" t="s">
        <v>68</v>
      </c>
      <c r="N11" s="94"/>
      <c r="O11" s="94"/>
      <c r="P11" s="94"/>
      <c r="Q11" s="94"/>
      <c r="R11" s="94"/>
      <c r="S11" s="94"/>
      <c r="T11" s="94"/>
      <c r="U11" s="94" t="s">
        <v>84</v>
      </c>
      <c r="V11" s="94"/>
      <c r="W11" s="94"/>
      <c r="X11" s="94"/>
      <c r="Y11" s="94"/>
      <c r="Z11" s="94"/>
      <c r="AA11" s="94"/>
      <c r="AB11" s="94"/>
      <c r="AC11" s="94"/>
      <c r="AD11" s="94"/>
      <c r="AE11" s="103" t="s">
        <v>85</v>
      </c>
      <c r="AF11" s="104"/>
      <c r="AG11" s="104"/>
      <c r="AH11" s="104"/>
      <c r="AI11" s="104"/>
      <c r="AJ11" s="104"/>
      <c r="AK11" s="104"/>
      <c r="AL11" s="104"/>
      <c r="AM11" s="104"/>
      <c r="AN11" s="104"/>
      <c r="AO11" s="104"/>
      <c r="AP11" s="104"/>
      <c r="AQ11" s="104"/>
      <c r="AR11" s="104"/>
      <c r="AS11" s="104"/>
      <c r="AT11" s="104"/>
      <c r="AU11" s="104"/>
      <c r="AV11" s="104"/>
      <c r="AW11" s="104"/>
      <c r="AX11" s="104"/>
      <c r="AY11" s="104"/>
      <c r="AZ11" s="104"/>
      <c r="BA11" s="104"/>
      <c r="BB11" s="104"/>
      <c r="BC11" s="104"/>
      <c r="BD11" s="104"/>
      <c r="BE11" s="104"/>
      <c r="BF11" s="104"/>
      <c r="BG11" s="104"/>
      <c r="BH11" s="104"/>
      <c r="BI11" s="104"/>
      <c r="BJ11" s="105"/>
    </row>
    <row r="12" spans="3:62">
      <c r="C12" s="91">
        <f t="shared" si="0"/>
        <v>6</v>
      </c>
      <c r="D12" s="92"/>
      <c r="E12" s="93"/>
      <c r="F12" s="93"/>
      <c r="G12" s="93"/>
      <c r="H12" s="93"/>
      <c r="I12" s="93"/>
      <c r="J12" s="93"/>
      <c r="K12" s="93"/>
      <c r="L12" s="93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  <c r="AD12" s="94"/>
      <c r="AE12" s="103"/>
      <c r="AF12" s="104"/>
      <c r="AG12" s="104"/>
      <c r="AH12" s="104"/>
      <c r="AI12" s="104"/>
      <c r="AJ12" s="104"/>
      <c r="AK12" s="104"/>
      <c r="AL12" s="104"/>
      <c r="AM12" s="104"/>
      <c r="AN12" s="104"/>
      <c r="AO12" s="104"/>
      <c r="AP12" s="104"/>
      <c r="AQ12" s="104"/>
      <c r="AR12" s="104"/>
      <c r="AS12" s="104"/>
      <c r="AT12" s="104"/>
      <c r="AU12" s="104"/>
      <c r="AV12" s="104"/>
      <c r="AW12" s="104"/>
      <c r="AX12" s="104"/>
      <c r="AY12" s="104"/>
      <c r="AZ12" s="104"/>
      <c r="BA12" s="104"/>
      <c r="BB12" s="104"/>
      <c r="BC12" s="104"/>
      <c r="BD12" s="104"/>
      <c r="BE12" s="104"/>
      <c r="BF12" s="104"/>
      <c r="BG12" s="104"/>
      <c r="BH12" s="104"/>
      <c r="BI12" s="104"/>
      <c r="BJ12" s="105"/>
    </row>
    <row r="13" spans="3:62">
      <c r="C13" s="91">
        <f t="shared" si="0"/>
        <v>7</v>
      </c>
      <c r="D13" s="92"/>
      <c r="E13" s="93"/>
      <c r="F13" s="93"/>
      <c r="G13" s="93"/>
      <c r="H13" s="93"/>
      <c r="I13" s="93"/>
      <c r="J13" s="93"/>
      <c r="K13" s="93"/>
      <c r="L13" s="93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  <c r="AD13" s="94"/>
      <c r="AE13" s="103"/>
      <c r="AF13" s="104"/>
      <c r="AG13" s="104"/>
      <c r="AH13" s="104"/>
      <c r="AI13" s="104"/>
      <c r="AJ13" s="104"/>
      <c r="AK13" s="104"/>
      <c r="AL13" s="104"/>
      <c r="AM13" s="104"/>
      <c r="AN13" s="104"/>
      <c r="AO13" s="104"/>
      <c r="AP13" s="104"/>
      <c r="AQ13" s="104"/>
      <c r="AR13" s="104"/>
      <c r="AS13" s="104"/>
      <c r="AT13" s="104"/>
      <c r="AU13" s="104"/>
      <c r="AV13" s="104"/>
      <c r="AW13" s="104"/>
      <c r="AX13" s="104"/>
      <c r="AY13" s="104"/>
      <c r="AZ13" s="104"/>
      <c r="BA13" s="104"/>
      <c r="BB13" s="104"/>
      <c r="BC13" s="104"/>
      <c r="BD13" s="104"/>
      <c r="BE13" s="104"/>
      <c r="BF13" s="104"/>
      <c r="BG13" s="104"/>
      <c r="BH13" s="104"/>
      <c r="BI13" s="104"/>
      <c r="BJ13" s="105"/>
    </row>
    <row r="14" spans="3:62">
      <c r="C14" s="91">
        <f t="shared" si="0"/>
        <v>8</v>
      </c>
      <c r="D14" s="92"/>
      <c r="E14" s="93"/>
      <c r="F14" s="93"/>
      <c r="G14" s="93"/>
      <c r="H14" s="93"/>
      <c r="I14" s="93"/>
      <c r="J14" s="93"/>
      <c r="K14" s="93"/>
      <c r="L14" s="93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  <c r="AD14" s="94"/>
      <c r="AE14" s="103"/>
      <c r="AF14" s="104"/>
      <c r="AG14" s="104"/>
      <c r="AH14" s="104"/>
      <c r="AI14" s="104"/>
      <c r="AJ14" s="104"/>
      <c r="AK14" s="104"/>
      <c r="AL14" s="104"/>
      <c r="AM14" s="104"/>
      <c r="AN14" s="104"/>
      <c r="AO14" s="104"/>
      <c r="AP14" s="104"/>
      <c r="AQ14" s="104"/>
      <c r="AR14" s="104"/>
      <c r="AS14" s="104"/>
      <c r="AT14" s="104"/>
      <c r="AU14" s="104"/>
      <c r="AV14" s="104"/>
      <c r="AW14" s="104"/>
      <c r="AX14" s="104"/>
      <c r="AY14" s="104"/>
      <c r="AZ14" s="104"/>
      <c r="BA14" s="104"/>
      <c r="BB14" s="104"/>
      <c r="BC14" s="104"/>
      <c r="BD14" s="104"/>
      <c r="BE14" s="104"/>
      <c r="BF14" s="104"/>
      <c r="BG14" s="104"/>
      <c r="BH14" s="104"/>
      <c r="BI14" s="104"/>
      <c r="BJ14" s="105"/>
    </row>
    <row r="15" spans="3:62">
      <c r="C15" s="91">
        <f t="shared" si="0"/>
        <v>9</v>
      </c>
      <c r="D15" s="92"/>
      <c r="E15" s="93"/>
      <c r="F15" s="93"/>
      <c r="G15" s="93"/>
      <c r="H15" s="93"/>
      <c r="I15" s="93"/>
      <c r="J15" s="93"/>
      <c r="K15" s="93"/>
      <c r="L15" s="93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  <c r="AD15" s="94"/>
      <c r="AE15" s="103"/>
      <c r="AF15" s="104"/>
      <c r="AG15" s="104"/>
      <c r="AH15" s="104"/>
      <c r="AI15" s="104"/>
      <c r="AJ15" s="104"/>
      <c r="AK15" s="104"/>
      <c r="AL15" s="104"/>
      <c r="AM15" s="104"/>
      <c r="AN15" s="104"/>
      <c r="AO15" s="104"/>
      <c r="AP15" s="104"/>
      <c r="AQ15" s="104"/>
      <c r="AR15" s="104"/>
      <c r="AS15" s="104"/>
      <c r="AT15" s="104"/>
      <c r="AU15" s="104"/>
      <c r="AV15" s="104"/>
      <c r="AW15" s="104"/>
      <c r="AX15" s="104"/>
      <c r="AY15" s="104"/>
      <c r="AZ15" s="104"/>
      <c r="BA15" s="104"/>
      <c r="BB15" s="104"/>
      <c r="BC15" s="104"/>
      <c r="BD15" s="104"/>
      <c r="BE15" s="104"/>
      <c r="BF15" s="104"/>
      <c r="BG15" s="104"/>
      <c r="BH15" s="104"/>
      <c r="BI15" s="104"/>
      <c r="BJ15" s="105"/>
    </row>
    <row r="16" spans="3:62">
      <c r="C16" s="91">
        <f t="shared" si="0"/>
        <v>10</v>
      </c>
      <c r="D16" s="92"/>
      <c r="E16" s="93"/>
      <c r="F16" s="93"/>
      <c r="G16" s="93"/>
      <c r="H16" s="93"/>
      <c r="I16" s="93"/>
      <c r="J16" s="93"/>
      <c r="K16" s="93"/>
      <c r="L16" s="93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  <c r="AD16" s="94"/>
      <c r="AE16" s="103"/>
      <c r="AF16" s="104"/>
      <c r="AG16" s="104"/>
      <c r="AH16" s="104"/>
      <c r="AI16" s="104"/>
      <c r="AJ16" s="104"/>
      <c r="AK16" s="104"/>
      <c r="AL16" s="104"/>
      <c r="AM16" s="104"/>
      <c r="AN16" s="104"/>
      <c r="AO16" s="104"/>
      <c r="AP16" s="104"/>
      <c r="AQ16" s="104"/>
      <c r="AR16" s="104"/>
      <c r="AS16" s="104"/>
      <c r="AT16" s="104"/>
      <c r="AU16" s="104"/>
      <c r="AV16" s="104"/>
      <c r="AW16" s="104"/>
      <c r="AX16" s="104"/>
      <c r="AY16" s="104"/>
      <c r="AZ16" s="104"/>
      <c r="BA16" s="104"/>
      <c r="BB16" s="104"/>
      <c r="BC16" s="104"/>
      <c r="BD16" s="104"/>
      <c r="BE16" s="104"/>
      <c r="BF16" s="104"/>
      <c r="BG16" s="104"/>
      <c r="BH16" s="104"/>
      <c r="BI16" s="104"/>
      <c r="BJ16" s="105"/>
    </row>
    <row r="17" spans="3:62">
      <c r="C17" s="73">
        <f t="shared" si="0"/>
        <v>11</v>
      </c>
      <c r="D17" s="74"/>
      <c r="E17" s="90"/>
      <c r="F17" s="90"/>
      <c r="G17" s="90"/>
      <c r="H17" s="90"/>
      <c r="I17" s="90"/>
      <c r="J17" s="90"/>
      <c r="K17" s="90"/>
      <c r="L17" s="90"/>
      <c r="M17" s="101"/>
      <c r="N17" s="101"/>
      <c r="O17" s="101"/>
      <c r="P17" s="101"/>
      <c r="Q17" s="101"/>
      <c r="R17" s="101"/>
      <c r="S17" s="101"/>
      <c r="T17" s="101"/>
      <c r="U17" s="101"/>
      <c r="V17" s="101"/>
      <c r="W17" s="101"/>
      <c r="X17" s="101"/>
      <c r="Y17" s="101"/>
      <c r="Z17" s="101"/>
      <c r="AA17" s="101"/>
      <c r="AB17" s="101"/>
      <c r="AC17" s="101"/>
      <c r="AD17" s="101"/>
      <c r="AE17" s="75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76"/>
      <c r="AT17" s="76"/>
      <c r="AU17" s="76"/>
      <c r="AV17" s="76"/>
      <c r="AW17" s="76"/>
      <c r="AX17" s="76"/>
      <c r="AY17" s="76"/>
      <c r="AZ17" s="76"/>
      <c r="BA17" s="76"/>
      <c r="BB17" s="76"/>
      <c r="BC17" s="76"/>
      <c r="BD17" s="76"/>
      <c r="BE17" s="76"/>
      <c r="BF17" s="76"/>
      <c r="BG17" s="76"/>
      <c r="BH17" s="76"/>
      <c r="BI17" s="76"/>
      <c r="BJ17" s="77"/>
    </row>
  </sheetData>
  <mergeCells count="74">
    <mergeCell ref="C2:M3"/>
    <mergeCell ref="N2:V2"/>
    <mergeCell ref="W2:AM2"/>
    <mergeCell ref="AN2:AR2"/>
    <mergeCell ref="AS2:AY2"/>
    <mergeCell ref="AE5:BJ6"/>
    <mergeCell ref="BE2:BJ2"/>
    <mergeCell ref="N3:V3"/>
    <mergeCell ref="W3:AM3"/>
    <mergeCell ref="AN3:AR3"/>
    <mergeCell ref="AS3:AY3"/>
    <mergeCell ref="AZ3:BD3"/>
    <mergeCell ref="BE3:BJ3"/>
    <mergeCell ref="AZ2:BD2"/>
    <mergeCell ref="C5:D6"/>
    <mergeCell ref="E5:AD5"/>
    <mergeCell ref="E6:L6"/>
    <mergeCell ref="M6:T6"/>
    <mergeCell ref="U6:AD6"/>
    <mergeCell ref="C7:D7"/>
    <mergeCell ref="E7:L7"/>
    <mergeCell ref="M7:T7"/>
    <mergeCell ref="U7:AD7"/>
    <mergeCell ref="AE7:BJ7"/>
    <mergeCell ref="C8:D8"/>
    <mergeCell ref="E8:L8"/>
    <mergeCell ref="M8:T8"/>
    <mergeCell ref="U8:AD8"/>
    <mergeCell ref="AE8:BJ8"/>
    <mergeCell ref="C9:D9"/>
    <mergeCell ref="E9:L9"/>
    <mergeCell ref="M9:T9"/>
    <mergeCell ref="U9:AD9"/>
    <mergeCell ref="AE9:BJ9"/>
    <mergeCell ref="C10:D10"/>
    <mergeCell ref="E10:L10"/>
    <mergeCell ref="M10:T10"/>
    <mergeCell ref="U10:AD10"/>
    <mergeCell ref="AE10:BJ10"/>
    <mergeCell ref="C11:D11"/>
    <mergeCell ref="E11:L11"/>
    <mergeCell ref="M11:T11"/>
    <mergeCell ref="U11:AD11"/>
    <mergeCell ref="AE11:BJ11"/>
    <mergeCell ref="C12:D12"/>
    <mergeCell ref="E12:L12"/>
    <mergeCell ref="M12:T12"/>
    <mergeCell ref="U12:AD12"/>
    <mergeCell ref="AE12:BJ12"/>
    <mergeCell ref="C13:D13"/>
    <mergeCell ref="E13:L13"/>
    <mergeCell ref="M13:T13"/>
    <mergeCell ref="U13:AD13"/>
    <mergeCell ref="AE13:BJ13"/>
    <mergeCell ref="C14:D14"/>
    <mergeCell ref="E14:L14"/>
    <mergeCell ref="M14:T14"/>
    <mergeCell ref="U14:AD14"/>
    <mergeCell ref="AE14:BJ14"/>
    <mergeCell ref="C15:D15"/>
    <mergeCell ref="E15:L15"/>
    <mergeCell ref="M15:T15"/>
    <mergeCell ref="U15:AD15"/>
    <mergeCell ref="AE15:BJ15"/>
    <mergeCell ref="C16:D16"/>
    <mergeCell ref="E16:L16"/>
    <mergeCell ref="M16:T16"/>
    <mergeCell ref="U16:AD16"/>
    <mergeCell ref="AE16:BJ16"/>
    <mergeCell ref="C17:D17"/>
    <mergeCell ref="E17:L17"/>
    <mergeCell ref="M17:T17"/>
    <mergeCell ref="U17:AD17"/>
    <mergeCell ref="AE17:BJ17"/>
  </mergeCells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E404-6D2C-4F57-B402-BB2C8C48624D}">
  <dimension ref="C2:BH75"/>
  <sheetViews>
    <sheetView showGridLines="0" zoomScale="85" zoomScaleNormal="85" workbookViewId="0"/>
  </sheetViews>
  <sheetFormatPr defaultColWidth="2.59765625" defaultRowHeight="18"/>
  <sheetData>
    <row r="2" spans="3:60">
      <c r="C2" s="61" t="s">
        <v>59</v>
      </c>
      <c r="D2" s="61"/>
      <c r="E2" s="61"/>
      <c r="F2" s="61"/>
      <c r="G2" s="61"/>
      <c r="H2" s="61"/>
      <c r="I2" s="61"/>
      <c r="J2" s="61"/>
      <c r="K2" s="61"/>
      <c r="L2" s="61"/>
      <c r="M2" s="61"/>
      <c r="N2" s="62" t="s">
        <v>32</v>
      </c>
      <c r="O2" s="62"/>
      <c r="P2" s="62"/>
      <c r="Q2" s="62"/>
      <c r="R2" s="62"/>
      <c r="S2" s="62"/>
      <c r="T2" s="62"/>
      <c r="U2" s="62"/>
      <c r="V2" s="62"/>
      <c r="W2" s="63" t="str">
        <f>機能一覧!W2</f>
        <v>OnehourDungeon</v>
      </c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5"/>
      <c r="AL2" s="108" t="s">
        <v>7</v>
      </c>
      <c r="AM2" s="109"/>
      <c r="AN2" s="109"/>
      <c r="AO2" s="109"/>
      <c r="AP2" s="110"/>
      <c r="AQ2" s="111" t="str">
        <f>機能一覧!AQ2</f>
        <v>鷹木</v>
      </c>
      <c r="AR2" s="112"/>
      <c r="AS2" s="112"/>
      <c r="AT2" s="112"/>
      <c r="AU2" s="112"/>
      <c r="AV2" s="112"/>
      <c r="AW2" s="113"/>
      <c r="AX2" s="108" t="s">
        <v>8</v>
      </c>
      <c r="AY2" s="109"/>
      <c r="AZ2" s="109"/>
      <c r="BA2" s="109"/>
      <c r="BB2" s="110"/>
      <c r="BC2" s="111"/>
      <c r="BD2" s="112"/>
      <c r="BE2" s="112"/>
      <c r="BF2" s="112"/>
      <c r="BG2" s="112"/>
      <c r="BH2" s="113"/>
    </row>
    <row r="3" spans="3:60"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2" t="s">
        <v>33</v>
      </c>
      <c r="O3" s="62"/>
      <c r="P3" s="62"/>
      <c r="Q3" s="62"/>
      <c r="R3" s="62"/>
      <c r="S3" s="62"/>
      <c r="T3" s="62"/>
      <c r="U3" s="62"/>
      <c r="V3" s="62"/>
      <c r="W3" s="63" t="str">
        <f>機能一覧!W3</f>
        <v>ローグライクRPG</v>
      </c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5"/>
      <c r="AL3" s="108" t="s">
        <v>9</v>
      </c>
      <c r="AM3" s="109"/>
      <c r="AN3" s="109"/>
      <c r="AO3" s="109"/>
      <c r="AP3" s="110"/>
      <c r="AQ3" s="114">
        <f>機能一覧!AQ3</f>
        <v>45636</v>
      </c>
      <c r="AR3" s="115"/>
      <c r="AS3" s="115"/>
      <c r="AT3" s="115"/>
      <c r="AU3" s="115"/>
      <c r="AV3" s="115"/>
      <c r="AW3" s="116"/>
      <c r="AX3" s="108" t="s">
        <v>10</v>
      </c>
      <c r="AY3" s="109"/>
      <c r="AZ3" s="109"/>
      <c r="BA3" s="109"/>
      <c r="BB3" s="110"/>
      <c r="BC3" s="111"/>
      <c r="BD3" s="112"/>
      <c r="BE3" s="112"/>
      <c r="BF3" s="112"/>
      <c r="BG3" s="112"/>
      <c r="BH3" s="113"/>
    </row>
    <row r="5" spans="3:60">
      <c r="C5" s="23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5"/>
    </row>
    <row r="6" spans="3:60">
      <c r="C6" s="29"/>
      <c r="BH6" s="40"/>
    </row>
    <row r="7" spans="3:60">
      <c r="C7" s="41"/>
      <c r="D7" s="42"/>
      <c r="E7" s="43"/>
      <c r="F7" s="43"/>
      <c r="G7" s="43"/>
      <c r="H7" s="43"/>
      <c r="I7" s="43"/>
      <c r="J7" s="43"/>
      <c r="K7" s="43"/>
      <c r="L7" s="43"/>
      <c r="M7" s="43"/>
      <c r="N7" s="42"/>
      <c r="O7" s="42"/>
      <c r="P7" s="42"/>
      <c r="Q7" s="42"/>
      <c r="R7" s="44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AZ7" s="42"/>
      <c r="BA7" s="42"/>
      <c r="BB7" s="42"/>
      <c r="BC7" s="42"/>
      <c r="BD7" s="42"/>
      <c r="BE7" s="42"/>
      <c r="BF7" s="42"/>
      <c r="BG7" s="42"/>
      <c r="BH7" s="45"/>
    </row>
    <row r="8" spans="3:60">
      <c r="C8" s="41"/>
      <c r="D8" s="42"/>
      <c r="E8" s="43"/>
      <c r="F8" s="43"/>
      <c r="G8" s="43"/>
      <c r="H8" s="43"/>
      <c r="I8" s="43"/>
      <c r="J8" s="43"/>
      <c r="K8" s="43"/>
      <c r="L8" s="43"/>
      <c r="M8" s="43"/>
      <c r="N8" s="43"/>
      <c r="O8" s="42"/>
      <c r="P8" s="46"/>
      <c r="Q8" s="42"/>
      <c r="R8" s="47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  <c r="BA8" s="42"/>
      <c r="BB8" s="42"/>
      <c r="BC8" s="42"/>
      <c r="BD8" s="42"/>
      <c r="BE8" s="42"/>
      <c r="BF8" s="42"/>
      <c r="BG8" s="42"/>
      <c r="BH8" s="45"/>
    </row>
    <row r="9" spans="3:60">
      <c r="C9" s="29"/>
      <c r="BH9" s="40"/>
    </row>
    <row r="10" spans="3:60">
      <c r="C10" s="29"/>
      <c r="BH10" s="40"/>
    </row>
    <row r="11" spans="3:60">
      <c r="C11" s="29"/>
      <c r="BH11" s="40"/>
    </row>
    <row r="12" spans="3:60">
      <c r="C12" s="29"/>
      <c r="BH12" s="40"/>
    </row>
    <row r="13" spans="3:60">
      <c r="C13" s="29"/>
      <c r="BH13" s="40"/>
    </row>
    <row r="14" spans="3:60">
      <c r="C14" s="29"/>
      <c r="W14" t="s">
        <v>51</v>
      </c>
      <c r="BH14" s="40"/>
    </row>
    <row r="15" spans="3:60">
      <c r="C15" s="29"/>
      <c r="BH15" s="40"/>
    </row>
    <row r="16" spans="3:60">
      <c r="C16" s="29"/>
      <c r="BH16" s="40"/>
    </row>
    <row r="17" spans="3:60">
      <c r="C17" s="29"/>
      <c r="BH17" s="40"/>
    </row>
    <row r="18" spans="3:60">
      <c r="C18" s="29"/>
      <c r="Q18" t="s">
        <v>50</v>
      </c>
      <c r="BH18" s="40"/>
    </row>
    <row r="19" spans="3:60">
      <c r="C19" s="29"/>
      <c r="BH19" s="40"/>
    </row>
    <row r="20" spans="3:60">
      <c r="C20" s="29"/>
      <c r="BH20" s="40"/>
    </row>
    <row r="21" spans="3:60">
      <c r="C21" s="29"/>
      <c r="BH21" s="40"/>
    </row>
    <row r="22" spans="3:60">
      <c r="C22" s="29"/>
      <c r="BH22" s="40"/>
    </row>
    <row r="23" spans="3:60">
      <c r="C23" s="29"/>
      <c r="BH23" s="40"/>
    </row>
    <row r="24" spans="3:60">
      <c r="C24" s="29"/>
      <c r="BH24" s="40"/>
    </row>
    <row r="25" spans="3:60">
      <c r="C25" s="29"/>
      <c r="BH25" s="40"/>
    </row>
    <row r="26" spans="3:60">
      <c r="C26" s="29"/>
      <c r="BH26" s="40"/>
    </row>
    <row r="27" spans="3:60">
      <c r="C27" s="29"/>
      <c r="BH27" s="40"/>
    </row>
    <row r="28" spans="3:60">
      <c r="C28" s="29"/>
      <c r="BH28" s="40"/>
    </row>
    <row r="29" spans="3:60">
      <c r="C29" s="29"/>
      <c r="BH29" s="40"/>
    </row>
    <row r="30" spans="3:60">
      <c r="C30" s="29"/>
      <c r="BH30" s="40"/>
    </row>
    <row r="31" spans="3:60">
      <c r="C31" s="29"/>
      <c r="BH31" s="40"/>
    </row>
    <row r="32" spans="3:60">
      <c r="C32" s="29"/>
      <c r="U32" t="s">
        <v>53</v>
      </c>
      <c r="BH32" s="40"/>
    </row>
    <row r="33" spans="3:60">
      <c r="C33" s="29"/>
      <c r="BH33" s="40"/>
    </row>
    <row r="34" spans="3:60">
      <c r="C34" s="29"/>
      <c r="I34" t="s">
        <v>54</v>
      </c>
      <c r="BH34" s="40"/>
    </row>
    <row r="35" spans="3:60">
      <c r="C35" s="29"/>
      <c r="BH35" s="40"/>
    </row>
    <row r="36" spans="3:60">
      <c r="C36" s="29"/>
      <c r="I36" t="s">
        <v>52</v>
      </c>
      <c r="BH36" s="40"/>
    </row>
    <row r="37" spans="3:60">
      <c r="C37" s="29"/>
      <c r="BH37" s="40"/>
    </row>
    <row r="38" spans="3:60">
      <c r="C38" s="29"/>
      <c r="BH38" s="40"/>
    </row>
    <row r="39" spans="3:60">
      <c r="C39" s="29"/>
      <c r="BH39" s="40"/>
    </row>
    <row r="40" spans="3:60">
      <c r="C40" s="29"/>
      <c r="BH40" s="40"/>
    </row>
    <row r="41" spans="3:60">
      <c r="C41" s="29"/>
      <c r="BH41" s="40"/>
    </row>
    <row r="42" spans="3:60">
      <c r="C42" s="29"/>
      <c r="BH42" s="40"/>
    </row>
    <row r="43" spans="3:60">
      <c r="C43" s="29"/>
      <c r="BH43" s="40"/>
    </row>
    <row r="44" spans="3:60">
      <c r="C44" s="29"/>
      <c r="AB44" t="s">
        <v>55</v>
      </c>
      <c r="BH44" s="40"/>
    </row>
    <row r="45" spans="3:60">
      <c r="C45" s="29"/>
      <c r="BH45" s="40"/>
    </row>
    <row r="46" spans="3:60">
      <c r="C46" s="29"/>
      <c r="BH46" s="40"/>
    </row>
    <row r="47" spans="3:60">
      <c r="C47" s="29"/>
      <c r="X47" t="s">
        <v>56</v>
      </c>
      <c r="BH47" s="40"/>
    </row>
    <row r="48" spans="3:60">
      <c r="C48" s="29"/>
      <c r="BH48" s="40"/>
    </row>
    <row r="49" spans="3:60">
      <c r="C49" s="29"/>
      <c r="BH49" s="40"/>
    </row>
    <row r="50" spans="3:60">
      <c r="C50" s="29"/>
      <c r="BH50" s="40"/>
    </row>
    <row r="51" spans="3:60">
      <c r="C51" s="29"/>
      <c r="BH51" s="40"/>
    </row>
    <row r="52" spans="3:60">
      <c r="C52" s="29"/>
      <c r="BH52" s="40"/>
    </row>
    <row r="53" spans="3:60">
      <c r="C53" s="29"/>
      <c r="BH53" s="40"/>
    </row>
    <row r="54" spans="3:60">
      <c r="C54" s="29"/>
      <c r="BH54" s="40"/>
    </row>
    <row r="55" spans="3:60">
      <c r="C55" s="29"/>
      <c r="BH55" s="40"/>
    </row>
    <row r="56" spans="3:60">
      <c r="C56" s="29"/>
      <c r="AD56" t="s">
        <v>58</v>
      </c>
      <c r="BH56" s="40"/>
    </row>
    <row r="57" spans="3:60">
      <c r="C57" s="29"/>
      <c r="BH57" s="40"/>
    </row>
    <row r="58" spans="3:60">
      <c r="C58" s="29"/>
      <c r="BH58" s="40"/>
    </row>
    <row r="59" spans="3:60">
      <c r="C59" s="29"/>
      <c r="BH59" s="40"/>
    </row>
    <row r="60" spans="3:60">
      <c r="C60" s="29"/>
      <c r="V60" t="s">
        <v>57</v>
      </c>
      <c r="BH60" s="40"/>
    </row>
    <row r="61" spans="3:60">
      <c r="C61" s="29"/>
      <c r="V61" t="s">
        <v>82</v>
      </c>
      <c r="AR61" s="31"/>
      <c r="AS61" s="39" t="s">
        <v>49</v>
      </c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3"/>
      <c r="BH61" s="40"/>
    </row>
    <row r="62" spans="3:60">
      <c r="C62" s="29"/>
      <c r="AR62" s="34"/>
      <c r="AS62" s="30"/>
      <c r="AT62" s="30"/>
      <c r="AU62" s="30"/>
      <c r="AV62" s="30"/>
      <c r="AW62" s="30"/>
      <c r="AX62" s="30"/>
      <c r="AY62" s="30"/>
      <c r="AZ62" s="30"/>
      <c r="BA62" s="30"/>
      <c r="BB62" s="30"/>
      <c r="BC62" s="30"/>
      <c r="BD62" s="30"/>
      <c r="BE62" s="30"/>
      <c r="BF62" s="30"/>
      <c r="BG62" s="35"/>
      <c r="BH62" s="40"/>
    </row>
    <row r="63" spans="3:60">
      <c r="C63" s="29"/>
      <c r="AR63" s="34"/>
      <c r="AS63" s="30"/>
      <c r="AT63" s="30"/>
      <c r="AU63" s="30"/>
      <c r="AV63" s="30"/>
      <c r="AW63" s="30"/>
      <c r="AX63" s="30"/>
      <c r="AY63" s="30"/>
      <c r="AZ63" s="30"/>
      <c r="BA63" s="30"/>
      <c r="BB63" s="30"/>
      <c r="BC63" s="30"/>
      <c r="BD63" s="30"/>
      <c r="BE63" s="30"/>
      <c r="BF63" s="30"/>
      <c r="BG63" s="35"/>
      <c r="BH63" s="40"/>
    </row>
    <row r="64" spans="3:60">
      <c r="C64" s="29"/>
      <c r="AR64" s="34"/>
      <c r="AS64" s="30"/>
      <c r="AT64" s="30"/>
      <c r="AU64" s="30"/>
      <c r="AV64" s="30"/>
      <c r="AW64" s="30"/>
      <c r="AX64" s="30"/>
      <c r="AY64" s="30"/>
      <c r="AZ64" s="30"/>
      <c r="BA64" s="30"/>
      <c r="BB64" s="30"/>
      <c r="BC64" s="30"/>
      <c r="BD64" s="30"/>
      <c r="BE64" s="30"/>
      <c r="BF64" s="30"/>
      <c r="BG64" s="35"/>
      <c r="BH64" s="40"/>
    </row>
    <row r="65" spans="3:60">
      <c r="C65" s="29"/>
      <c r="AR65" s="34"/>
      <c r="AS65" s="30"/>
      <c r="AT65" s="30"/>
      <c r="AU65" s="30"/>
      <c r="AV65" s="30"/>
      <c r="AW65" s="30"/>
      <c r="AX65" s="30"/>
      <c r="AY65" s="30"/>
      <c r="AZ65" s="30"/>
      <c r="BA65" s="30"/>
      <c r="BB65" s="30"/>
      <c r="BC65" s="30"/>
      <c r="BD65" s="30"/>
      <c r="BE65" s="30"/>
      <c r="BF65" s="30"/>
      <c r="BG65" s="35"/>
      <c r="BH65" s="40"/>
    </row>
    <row r="66" spans="3:60">
      <c r="C66" s="29"/>
      <c r="AR66" s="34"/>
      <c r="AS66" s="30"/>
      <c r="AT66" s="30"/>
      <c r="AU66" s="30"/>
      <c r="AV66" s="30"/>
      <c r="AW66" s="30"/>
      <c r="AX66" s="30"/>
      <c r="AY66" s="30"/>
      <c r="AZ66" s="30"/>
      <c r="BA66" s="30"/>
      <c r="BB66" s="30"/>
      <c r="BC66" s="30"/>
      <c r="BD66" s="30"/>
      <c r="BE66" s="30"/>
      <c r="BF66" s="30"/>
      <c r="BG66" s="35"/>
      <c r="BH66" s="40"/>
    </row>
    <row r="67" spans="3:60">
      <c r="C67" s="29"/>
      <c r="AR67" s="34"/>
      <c r="AS67" s="30"/>
      <c r="AT67" s="30"/>
      <c r="AU67" s="30"/>
      <c r="AV67" s="30"/>
      <c r="AW67" s="30"/>
      <c r="AX67" s="30"/>
      <c r="AY67" s="30"/>
      <c r="AZ67" s="30"/>
      <c r="BA67" s="30"/>
      <c r="BB67" s="30"/>
      <c r="BC67" s="30"/>
      <c r="BD67" s="30"/>
      <c r="BE67" s="30"/>
      <c r="BF67" s="30"/>
      <c r="BG67" s="35"/>
      <c r="BH67" s="40"/>
    </row>
    <row r="68" spans="3:60">
      <c r="C68" s="29"/>
      <c r="AR68" s="34"/>
      <c r="AS68" s="30"/>
      <c r="AT68" s="30"/>
      <c r="AU68" s="30"/>
      <c r="AV68" s="30"/>
      <c r="AW68" s="30"/>
      <c r="AX68" s="30"/>
      <c r="AY68" s="30"/>
      <c r="AZ68" s="30"/>
      <c r="BA68" s="30"/>
      <c r="BB68" s="30"/>
      <c r="BC68" s="30"/>
      <c r="BD68" s="30"/>
      <c r="BE68" s="30"/>
      <c r="BF68" s="30"/>
      <c r="BG68" s="35"/>
      <c r="BH68" s="40"/>
    </row>
    <row r="69" spans="3:60">
      <c r="C69" s="29"/>
      <c r="AR69" s="34"/>
      <c r="AS69" s="30"/>
      <c r="AT69" s="30"/>
      <c r="AU69" s="30"/>
      <c r="AV69" s="30"/>
      <c r="AW69" s="30"/>
      <c r="AX69" s="30"/>
      <c r="AY69" s="30"/>
      <c r="AZ69" s="30"/>
      <c r="BA69" s="30"/>
      <c r="BB69" s="30"/>
      <c r="BC69" s="30"/>
      <c r="BD69" s="30"/>
      <c r="BE69" s="30"/>
      <c r="BF69" s="30"/>
      <c r="BG69" s="35"/>
      <c r="BH69" s="40"/>
    </row>
    <row r="70" spans="3:60">
      <c r="C70" s="29"/>
      <c r="AR70" s="34"/>
      <c r="AS70" s="30"/>
      <c r="AT70" s="30"/>
      <c r="AU70" s="30"/>
      <c r="AV70" s="30"/>
      <c r="AW70" s="30"/>
      <c r="AX70" s="30"/>
      <c r="AY70" s="30"/>
      <c r="AZ70" s="30"/>
      <c r="BA70" s="30"/>
      <c r="BB70" s="30"/>
      <c r="BC70" s="30"/>
      <c r="BD70" s="30"/>
      <c r="BE70" s="30"/>
      <c r="BF70" s="30"/>
      <c r="BG70" s="35"/>
      <c r="BH70" s="40"/>
    </row>
    <row r="71" spans="3:60">
      <c r="C71" s="29"/>
      <c r="AR71" s="34"/>
      <c r="AS71" s="30"/>
      <c r="AT71" s="30"/>
      <c r="AU71" s="30"/>
      <c r="AV71" s="30"/>
      <c r="AW71" s="30"/>
      <c r="AX71" s="30"/>
      <c r="AY71" s="30"/>
      <c r="AZ71" s="30"/>
      <c r="BA71" s="30"/>
      <c r="BB71" s="30"/>
      <c r="BC71" s="30"/>
      <c r="BD71" s="30"/>
      <c r="BE71" s="30"/>
      <c r="BF71" s="30"/>
      <c r="BG71" s="35"/>
      <c r="BH71" s="40"/>
    </row>
    <row r="72" spans="3:60">
      <c r="C72" s="29"/>
      <c r="AR72" s="34"/>
      <c r="AS72" s="30"/>
      <c r="AT72" s="30"/>
      <c r="AU72" s="30"/>
      <c r="AV72" s="30"/>
      <c r="AW72" s="30"/>
      <c r="AX72" s="30"/>
      <c r="AY72" s="30"/>
      <c r="AZ72" s="30"/>
      <c r="BA72" s="30"/>
      <c r="BB72" s="30"/>
      <c r="BC72" s="30"/>
      <c r="BD72" s="30"/>
      <c r="BE72" s="30"/>
      <c r="BF72" s="30"/>
      <c r="BG72" s="35"/>
      <c r="BH72" s="40"/>
    </row>
    <row r="73" spans="3:60">
      <c r="C73" s="29"/>
      <c r="AR73" s="34"/>
      <c r="AS73" s="30"/>
      <c r="AT73" s="30"/>
      <c r="AU73" s="30"/>
      <c r="AV73" s="30"/>
      <c r="AW73" s="30"/>
      <c r="AX73" s="30"/>
      <c r="AY73" s="30"/>
      <c r="AZ73" s="30"/>
      <c r="BA73" s="30"/>
      <c r="BB73" s="30"/>
      <c r="BC73" s="30"/>
      <c r="BD73" s="30"/>
      <c r="BE73" s="30"/>
      <c r="BF73" s="30"/>
      <c r="BG73" s="35"/>
      <c r="BH73" s="40"/>
    </row>
    <row r="74" spans="3:60">
      <c r="C74" s="29"/>
      <c r="AR74" s="36"/>
      <c r="AS74" s="37"/>
      <c r="AT74" s="37"/>
      <c r="AU74" s="37"/>
      <c r="AV74" s="37"/>
      <c r="AW74" s="37"/>
      <c r="AX74" s="37"/>
      <c r="AY74" s="37"/>
      <c r="AZ74" s="37"/>
      <c r="BA74" s="37"/>
      <c r="BB74" s="37"/>
      <c r="BC74" s="37"/>
      <c r="BD74" s="37"/>
      <c r="BE74" s="37"/>
      <c r="BF74" s="37"/>
      <c r="BG74" s="38"/>
      <c r="BH74" s="40"/>
    </row>
    <row r="75" spans="3:60">
      <c r="C75" s="26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  <c r="BG75" s="27"/>
      <c r="BH75" s="28"/>
    </row>
  </sheetData>
  <mergeCells count="13">
    <mergeCell ref="C2:M3"/>
    <mergeCell ref="N2:V2"/>
    <mergeCell ref="N3:V3"/>
    <mergeCell ref="AL2:AP2"/>
    <mergeCell ref="AL3:AP3"/>
    <mergeCell ref="AX2:BB2"/>
    <mergeCell ref="AX3:BB3"/>
    <mergeCell ref="BC2:BH2"/>
    <mergeCell ref="BC3:BH3"/>
    <mergeCell ref="W2:AK2"/>
    <mergeCell ref="W3:AK3"/>
    <mergeCell ref="AQ2:AW2"/>
    <mergeCell ref="AQ3:AW3"/>
  </mergeCells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表紙</vt:lpstr>
      <vt:lpstr>変更履歴</vt:lpstr>
      <vt:lpstr>目的</vt:lpstr>
      <vt:lpstr>システム構成図</vt:lpstr>
      <vt:lpstr>機能一覧</vt:lpstr>
      <vt:lpstr>外部ライブラリ一覧</vt:lpstr>
      <vt:lpstr>画面遷移図_フローチャート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nagamasa</dc:creator>
  <cp:lastModifiedBy>永聖 鷹木</cp:lastModifiedBy>
  <dcterms:created xsi:type="dcterms:W3CDTF">2015-06-05T18:19:34Z</dcterms:created>
  <dcterms:modified xsi:type="dcterms:W3CDTF">2025-11-20T08:09:03Z</dcterms:modified>
</cp:coreProperties>
</file>